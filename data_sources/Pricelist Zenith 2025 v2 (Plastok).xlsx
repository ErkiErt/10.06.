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plastokee-my.sharepoint.com/personal/kirill_plastok_ee/Documents/Database/"/>
    </mc:Choice>
  </mc:AlternateContent>
  <xr:revisionPtr revIDLastSave="1109" documentId="8_{AD87753F-CF84-45EF-A7BA-35E5F19F08C0}" xr6:coauthVersionLast="47" xr6:coauthVersionMax="47" xr10:uidLastSave="{47B1356E-BB85-4030-9800-164180088BB5}"/>
  <bookViews>
    <workbookView xWindow="-15420" yWindow="-16320" windowWidth="29040" windowHeight="15720" tabRatio="642" activeTab="10" xr2:uid="{00000000-000D-0000-FFFF-FFFF00000000}"/>
  </bookViews>
  <sheets>
    <sheet name="Discounts" sheetId="31" r:id="rId1"/>
    <sheet name="SBR" sheetId="15" r:id="rId2"/>
    <sheet name="NBR" sheetId="16" r:id="rId3"/>
    <sheet name="EPDM" sheetId="22" r:id="rId4"/>
    <sheet name="CR" sheetId="18" r:id="rId5"/>
    <sheet name="Para" sheetId="19" r:id="rId6"/>
    <sheet name="Food Grade &amp; VMQ" sheetId="20" r:id="rId7"/>
    <sheet name="FKM" sheetId="30" r:id="rId8"/>
    <sheet name="Various" sheetId="21" r:id="rId9"/>
    <sheet name="Matting" sheetId="17" r:id="rId10"/>
    <sheet name="ALL" sheetId="32" r:id="rId11"/>
  </sheets>
  <definedNames>
    <definedName name="_xlnm.Print_Area" localSheetId="6">'Food Grade &amp; VMQ'!#REF!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32" l="1"/>
  <c r="R3" i="32"/>
  <c r="R4" i="32"/>
  <c r="R5" i="32"/>
  <c r="R6" i="32"/>
  <c r="R7" i="32"/>
  <c r="R8" i="32"/>
  <c r="R9" i="32"/>
  <c r="R10" i="32"/>
  <c r="R11" i="32"/>
  <c r="R12" i="32"/>
  <c r="R13" i="32"/>
  <c r="R14" i="32"/>
  <c r="R15" i="32"/>
  <c r="R16" i="32"/>
  <c r="R17" i="32"/>
  <c r="R18" i="32"/>
  <c r="R19" i="32"/>
  <c r="R20" i="32"/>
  <c r="R21" i="32"/>
  <c r="R22" i="32"/>
  <c r="R23" i="32"/>
  <c r="R24" i="32"/>
  <c r="R25" i="32"/>
  <c r="R26" i="32"/>
  <c r="R27" i="32"/>
  <c r="R28" i="32"/>
  <c r="R29" i="32"/>
  <c r="R30" i="32"/>
  <c r="R31" i="32"/>
  <c r="R32" i="32"/>
  <c r="R33" i="32"/>
  <c r="R34" i="32"/>
  <c r="R35" i="32"/>
  <c r="R36" i="32"/>
  <c r="R37" i="32"/>
  <c r="R38" i="32"/>
  <c r="R39" i="32"/>
  <c r="R40" i="32"/>
  <c r="R41" i="32"/>
  <c r="R42" i="32"/>
  <c r="R43" i="32"/>
  <c r="R44" i="32"/>
  <c r="R45" i="32"/>
  <c r="R46" i="32"/>
  <c r="R47" i="32"/>
  <c r="R48" i="32"/>
  <c r="R49" i="32"/>
  <c r="R50" i="32"/>
  <c r="R51" i="32"/>
  <c r="R52" i="32"/>
  <c r="R53" i="32"/>
  <c r="R54" i="32"/>
  <c r="R55" i="32"/>
  <c r="R56" i="32"/>
  <c r="R57" i="32"/>
  <c r="R58" i="32"/>
  <c r="R59" i="32"/>
  <c r="R60" i="32"/>
  <c r="R61" i="32"/>
  <c r="R62" i="32"/>
  <c r="R63" i="32"/>
  <c r="R64" i="32"/>
  <c r="R65" i="32"/>
  <c r="R66" i="32"/>
  <c r="R67" i="32"/>
  <c r="R68" i="32"/>
  <c r="R69" i="32"/>
  <c r="R70" i="32"/>
  <c r="R71" i="32"/>
  <c r="R72" i="32"/>
  <c r="R73" i="32"/>
  <c r="R74" i="32"/>
  <c r="R75" i="32"/>
  <c r="R76" i="32"/>
  <c r="R77" i="32"/>
  <c r="R78" i="32"/>
  <c r="R79" i="32"/>
  <c r="R80" i="32"/>
  <c r="R81" i="32"/>
  <c r="R82" i="32"/>
  <c r="R83" i="32"/>
  <c r="R84" i="32"/>
  <c r="R85" i="32"/>
  <c r="R86" i="32"/>
  <c r="R87" i="32"/>
  <c r="R88" i="32"/>
  <c r="R89" i="32"/>
  <c r="R90" i="32"/>
  <c r="R91" i="32"/>
  <c r="R92" i="32"/>
  <c r="R93" i="32"/>
  <c r="R94" i="32"/>
  <c r="R95" i="32"/>
  <c r="R96" i="32"/>
  <c r="R97" i="32"/>
  <c r="R98" i="32"/>
  <c r="R99" i="32"/>
  <c r="R100" i="32"/>
  <c r="R101" i="32"/>
  <c r="R102" i="32"/>
  <c r="R103" i="32"/>
  <c r="R104" i="32"/>
  <c r="R105" i="32"/>
  <c r="R106" i="32"/>
  <c r="R107" i="32"/>
  <c r="R108" i="32"/>
  <c r="R109" i="32"/>
  <c r="R110" i="32"/>
  <c r="R111" i="32"/>
  <c r="R112" i="32"/>
  <c r="R113" i="32"/>
  <c r="R114" i="32"/>
  <c r="R115" i="32"/>
  <c r="R116" i="32"/>
  <c r="R117" i="32"/>
  <c r="R118" i="32"/>
  <c r="R119" i="32"/>
  <c r="R120" i="32"/>
  <c r="R121" i="32"/>
  <c r="R122" i="32"/>
  <c r="R123" i="32"/>
  <c r="R124" i="32"/>
  <c r="R125" i="32"/>
  <c r="R126" i="32"/>
  <c r="R127" i="32"/>
  <c r="R128" i="32"/>
  <c r="R129" i="32"/>
  <c r="R130" i="32"/>
  <c r="R131" i="32"/>
  <c r="R132" i="32"/>
  <c r="R133" i="32"/>
  <c r="R134" i="32"/>
  <c r="R135" i="32"/>
  <c r="R136" i="32"/>
  <c r="R137" i="32"/>
  <c r="R138" i="32"/>
  <c r="R139" i="32"/>
  <c r="R140" i="32"/>
  <c r="R141" i="32"/>
  <c r="R142" i="32"/>
  <c r="R143" i="32"/>
  <c r="R144" i="32"/>
  <c r="R145" i="32"/>
  <c r="R146" i="32"/>
  <c r="R147" i="32"/>
  <c r="R148" i="32"/>
  <c r="R149" i="32"/>
  <c r="R150" i="32"/>
  <c r="R151" i="32"/>
  <c r="R152" i="32"/>
  <c r="R153" i="32"/>
  <c r="R154" i="32"/>
  <c r="R155" i="32"/>
  <c r="R156" i="32"/>
  <c r="R157" i="32"/>
  <c r="R158" i="32"/>
  <c r="R159" i="32"/>
  <c r="R160" i="32"/>
  <c r="R161" i="32"/>
  <c r="R162" i="32"/>
  <c r="R163" i="32"/>
  <c r="R164" i="32"/>
  <c r="R165" i="32"/>
  <c r="R166" i="32"/>
  <c r="R167" i="32"/>
  <c r="R168" i="32"/>
  <c r="R169" i="32"/>
  <c r="R170" i="32"/>
  <c r="R171" i="32"/>
  <c r="R172" i="32"/>
  <c r="R173" i="32"/>
  <c r="R174" i="32"/>
  <c r="R175" i="32"/>
  <c r="R176" i="32"/>
  <c r="R177" i="32"/>
  <c r="R178" i="32"/>
  <c r="R179" i="32"/>
  <c r="R180" i="32"/>
  <c r="R181" i="32"/>
  <c r="R182" i="32"/>
  <c r="R183" i="32"/>
  <c r="R184" i="32"/>
  <c r="R185" i="32"/>
  <c r="R186" i="32"/>
  <c r="R187" i="32"/>
  <c r="R188" i="32"/>
  <c r="R189" i="32"/>
  <c r="R190" i="32"/>
  <c r="R191" i="32"/>
  <c r="R192" i="32"/>
  <c r="R193" i="32"/>
  <c r="R194" i="32"/>
  <c r="R195" i="32"/>
  <c r="R196" i="32"/>
  <c r="R197" i="32"/>
  <c r="R198" i="32"/>
  <c r="R199" i="32"/>
  <c r="R200" i="32"/>
  <c r="R201" i="32"/>
  <c r="R202" i="32"/>
  <c r="R203" i="32"/>
  <c r="R204" i="32"/>
  <c r="R205" i="32"/>
  <c r="R206" i="32"/>
  <c r="R207" i="32"/>
  <c r="R208" i="32"/>
  <c r="R209" i="32"/>
  <c r="R210" i="32"/>
  <c r="R211" i="32"/>
  <c r="R212" i="32"/>
  <c r="R213" i="32"/>
  <c r="R214" i="32"/>
  <c r="R215" i="32"/>
  <c r="R216" i="32"/>
  <c r="R217" i="32"/>
  <c r="R218" i="32"/>
  <c r="R219" i="32"/>
  <c r="R220" i="32"/>
  <c r="R221" i="32"/>
  <c r="R222" i="32"/>
  <c r="R223" i="32"/>
  <c r="R224" i="32"/>
  <c r="R225" i="32"/>
  <c r="R226" i="32"/>
  <c r="R227" i="32"/>
  <c r="R228" i="32"/>
  <c r="R229" i="32"/>
  <c r="R230" i="32"/>
  <c r="R231" i="32"/>
  <c r="R232" i="32"/>
  <c r="R233" i="32"/>
  <c r="R234" i="32"/>
  <c r="R235" i="32"/>
  <c r="R236" i="32"/>
  <c r="R237" i="32"/>
  <c r="R238" i="32"/>
  <c r="R239" i="32"/>
  <c r="R240" i="32"/>
  <c r="R241" i="32"/>
  <c r="R242" i="32"/>
  <c r="R243" i="32"/>
  <c r="R244" i="32"/>
  <c r="R245" i="32"/>
  <c r="R246" i="32"/>
  <c r="R247" i="32"/>
  <c r="R248" i="32"/>
  <c r="R249" i="32"/>
  <c r="R250" i="32"/>
  <c r="R251" i="32"/>
  <c r="R252" i="32"/>
  <c r="R253" i="32"/>
  <c r="R254" i="32"/>
  <c r="R255" i="32"/>
  <c r="R256" i="32"/>
  <c r="R257" i="32"/>
  <c r="R258" i="32"/>
  <c r="R259" i="32"/>
  <c r="R260" i="32"/>
  <c r="R261" i="32"/>
  <c r="R262" i="32"/>
  <c r="R263" i="32"/>
  <c r="R264" i="32"/>
  <c r="R265" i="32"/>
  <c r="R266" i="32"/>
  <c r="R267" i="32"/>
  <c r="R268" i="32"/>
  <c r="R269" i="32"/>
  <c r="R270" i="32"/>
  <c r="R271" i="32"/>
  <c r="R272" i="32"/>
  <c r="R273" i="32"/>
  <c r="R274" i="32"/>
  <c r="R275" i="32"/>
  <c r="R276" i="32"/>
  <c r="R277" i="32"/>
  <c r="R278" i="32"/>
  <c r="R279" i="32"/>
  <c r="R280" i="32"/>
  <c r="R281" i="32"/>
  <c r="R282" i="32"/>
  <c r="R283" i="32"/>
  <c r="R284" i="32"/>
  <c r="R285" i="32"/>
  <c r="R286" i="32"/>
  <c r="R287" i="32"/>
  <c r="R288" i="32"/>
  <c r="R289" i="32"/>
  <c r="R290" i="32"/>
  <c r="R291" i="32"/>
  <c r="R292" i="32"/>
  <c r="R293" i="32"/>
  <c r="R294" i="32"/>
  <c r="R295" i="32"/>
  <c r="R296" i="32"/>
  <c r="R297" i="32"/>
  <c r="R298" i="32"/>
  <c r="R299" i="32"/>
  <c r="R300" i="32"/>
  <c r="R301" i="32"/>
  <c r="R302" i="32"/>
  <c r="R303" i="32"/>
  <c r="R304" i="32"/>
  <c r="R305" i="32"/>
  <c r="R306" i="32"/>
  <c r="R307" i="32"/>
  <c r="R308" i="32"/>
  <c r="R309" i="32"/>
  <c r="R310" i="32"/>
  <c r="R311" i="32"/>
  <c r="R312" i="32"/>
  <c r="R313" i="32"/>
  <c r="R314" i="32"/>
  <c r="R315" i="32"/>
  <c r="R316" i="32"/>
  <c r="R317" i="32"/>
  <c r="R318" i="32"/>
  <c r="R319" i="32"/>
  <c r="R320" i="32"/>
  <c r="R321" i="32"/>
  <c r="R322" i="32"/>
  <c r="R323" i="32"/>
  <c r="R324" i="32"/>
  <c r="R325" i="32"/>
  <c r="R326" i="32"/>
  <c r="R327" i="32"/>
  <c r="R328" i="32"/>
  <c r="R329" i="32"/>
  <c r="R330" i="32"/>
  <c r="R331" i="32"/>
  <c r="R332" i="32"/>
  <c r="R333" i="32"/>
  <c r="R334" i="32"/>
  <c r="R335" i="32"/>
  <c r="R336" i="32"/>
  <c r="R337" i="32"/>
  <c r="R338" i="32"/>
  <c r="R339" i="32"/>
  <c r="R340" i="32"/>
  <c r="R341" i="32"/>
  <c r="R342" i="32"/>
  <c r="R343" i="32"/>
  <c r="R344" i="32"/>
  <c r="R345" i="32"/>
  <c r="R346" i="32"/>
  <c r="R347" i="32"/>
  <c r="R348" i="32"/>
  <c r="R349" i="32"/>
  <c r="R350" i="32"/>
  <c r="R351" i="32"/>
  <c r="R352" i="32"/>
  <c r="R353" i="32"/>
  <c r="R354" i="32"/>
  <c r="R355" i="32"/>
  <c r="R356" i="32"/>
  <c r="R357" i="32"/>
  <c r="R358" i="32"/>
  <c r="R359" i="32"/>
  <c r="R360" i="32"/>
  <c r="R361" i="32"/>
  <c r="R362" i="32"/>
  <c r="R363" i="32"/>
  <c r="R364" i="32"/>
  <c r="R365" i="32"/>
  <c r="R366" i="32"/>
  <c r="R367" i="32"/>
  <c r="R368" i="32"/>
  <c r="R369" i="32"/>
  <c r="R370" i="32"/>
  <c r="R371" i="32"/>
  <c r="R372" i="32"/>
  <c r="R373" i="32"/>
  <c r="R374" i="32"/>
  <c r="R375" i="32"/>
  <c r="R376" i="32"/>
  <c r="R377" i="32"/>
  <c r="R378" i="32"/>
  <c r="R379" i="32"/>
  <c r="R380" i="32"/>
  <c r="R381" i="32"/>
  <c r="R382" i="32"/>
  <c r="R383" i="32"/>
  <c r="R384" i="32"/>
  <c r="R385" i="32"/>
  <c r="R386" i="32"/>
  <c r="R387" i="32"/>
  <c r="R388" i="32"/>
  <c r="R389" i="32"/>
  <c r="R390" i="32"/>
  <c r="R391" i="32"/>
  <c r="R392" i="32"/>
  <c r="R393" i="32"/>
  <c r="R394" i="32"/>
  <c r="R395" i="32"/>
  <c r="R396" i="32"/>
  <c r="R397" i="32"/>
  <c r="R398" i="32"/>
  <c r="R399" i="32"/>
  <c r="R400" i="32"/>
  <c r="R401" i="32"/>
  <c r="R402" i="32"/>
  <c r="R403" i="32"/>
  <c r="R404" i="32"/>
  <c r="R405" i="32"/>
  <c r="R406" i="32"/>
  <c r="R407" i="32"/>
  <c r="R408" i="32"/>
  <c r="R409" i="32"/>
  <c r="R410" i="32"/>
  <c r="R411" i="32"/>
  <c r="R412" i="32"/>
  <c r="R413" i="32"/>
  <c r="R414" i="32"/>
  <c r="R415" i="32"/>
  <c r="R416" i="32"/>
  <c r="R417" i="32"/>
  <c r="R418" i="32"/>
  <c r="R419" i="32"/>
  <c r="R420" i="32"/>
  <c r="R421" i="32"/>
  <c r="R422" i="32"/>
  <c r="R423" i="32"/>
  <c r="R424" i="32"/>
  <c r="R425" i="32"/>
  <c r="R426" i="32"/>
  <c r="R427" i="32"/>
  <c r="R428" i="32"/>
  <c r="R429" i="32"/>
  <c r="R430" i="32"/>
  <c r="R431" i="32"/>
  <c r="R432" i="32"/>
  <c r="R433" i="32"/>
  <c r="R434" i="32"/>
  <c r="R435" i="32"/>
  <c r="R436" i="32"/>
  <c r="R437" i="32"/>
  <c r="R438" i="32"/>
  <c r="R439" i="32"/>
  <c r="R440" i="32"/>
  <c r="R441" i="32"/>
  <c r="R442" i="32"/>
  <c r="R443" i="32"/>
  <c r="R444" i="32"/>
  <c r="R445" i="32"/>
  <c r="R446" i="32"/>
  <c r="R447" i="32"/>
  <c r="R448" i="32"/>
  <c r="R449" i="32"/>
  <c r="R450" i="32"/>
  <c r="R451" i="32"/>
  <c r="R452" i="32"/>
  <c r="R453" i="32"/>
  <c r="R454" i="32"/>
  <c r="R455" i="32"/>
  <c r="R456" i="32"/>
  <c r="R457" i="32"/>
  <c r="R458" i="32"/>
  <c r="R459" i="32"/>
  <c r="R460" i="32"/>
  <c r="R461" i="32"/>
  <c r="R462" i="32"/>
  <c r="R463" i="32"/>
  <c r="R464" i="32"/>
  <c r="R465" i="32"/>
  <c r="R466" i="32"/>
  <c r="R467" i="32"/>
  <c r="R468" i="32"/>
  <c r="R469" i="32"/>
  <c r="R470" i="32"/>
  <c r="R471" i="32"/>
  <c r="R472" i="32"/>
  <c r="R473" i="32"/>
  <c r="R474" i="32"/>
  <c r="R475" i="32"/>
  <c r="R476" i="32"/>
  <c r="R477" i="32"/>
  <c r="R478" i="32"/>
  <c r="R479" i="32"/>
  <c r="R480" i="32"/>
  <c r="R481" i="32"/>
  <c r="R482" i="32"/>
  <c r="R483" i="32"/>
  <c r="R484" i="32"/>
  <c r="R485" i="32"/>
  <c r="R486" i="32"/>
  <c r="R487" i="32"/>
  <c r="R488" i="32"/>
  <c r="R489" i="32"/>
  <c r="R490" i="32"/>
  <c r="R491" i="32"/>
  <c r="R492" i="32"/>
  <c r="R493" i="32"/>
  <c r="R494" i="32"/>
  <c r="R495" i="32"/>
  <c r="R496" i="32"/>
  <c r="R497" i="32"/>
  <c r="R498" i="32"/>
  <c r="R499" i="32"/>
  <c r="R500" i="32"/>
  <c r="R501" i="32"/>
  <c r="R502" i="32"/>
  <c r="R503" i="32"/>
  <c r="R504" i="32"/>
  <c r="R505" i="32"/>
  <c r="R506" i="32"/>
  <c r="R507" i="32"/>
  <c r="R508" i="32"/>
  <c r="R509" i="32"/>
  <c r="R510" i="32"/>
  <c r="R511" i="32"/>
  <c r="R512" i="32"/>
  <c r="R513" i="32"/>
  <c r="R514" i="32"/>
  <c r="R515" i="32"/>
  <c r="R516" i="32"/>
  <c r="R517" i="32"/>
  <c r="R518" i="32"/>
  <c r="R519" i="32"/>
  <c r="R520" i="32"/>
  <c r="R521" i="32"/>
  <c r="R522" i="32"/>
  <c r="R523" i="32"/>
  <c r="R524" i="32"/>
  <c r="R525" i="32"/>
  <c r="R526" i="32"/>
  <c r="R527" i="32"/>
  <c r="R528" i="32"/>
  <c r="R529" i="32"/>
  <c r="R530" i="32"/>
  <c r="R531" i="32"/>
  <c r="R532" i="32"/>
  <c r="R533" i="32"/>
  <c r="R534" i="32"/>
  <c r="R535" i="32"/>
  <c r="R536" i="32"/>
  <c r="R537" i="32"/>
  <c r="R538" i="32"/>
  <c r="R539" i="32"/>
  <c r="R540" i="32"/>
  <c r="R541" i="32"/>
  <c r="R542" i="32"/>
  <c r="R543" i="32"/>
  <c r="R544" i="32"/>
  <c r="R545" i="32"/>
  <c r="R546" i="32"/>
  <c r="R547" i="32"/>
  <c r="R548" i="32"/>
  <c r="R549" i="32"/>
  <c r="R550" i="32"/>
  <c r="R551" i="32"/>
  <c r="R552" i="32"/>
  <c r="R553" i="32"/>
  <c r="R554" i="32"/>
  <c r="R555" i="32"/>
  <c r="R556" i="32"/>
  <c r="R557" i="32"/>
  <c r="R558" i="32"/>
  <c r="R559" i="32"/>
  <c r="R560" i="32"/>
  <c r="R561" i="32"/>
  <c r="R562" i="32"/>
  <c r="R563" i="32"/>
  <c r="R564" i="32"/>
  <c r="R565" i="32"/>
  <c r="R566" i="32"/>
  <c r="R567" i="32"/>
  <c r="R568" i="32"/>
  <c r="R569" i="32"/>
  <c r="R570" i="32"/>
  <c r="R571" i="32"/>
  <c r="R572" i="32"/>
  <c r="R573" i="32"/>
  <c r="R574" i="32"/>
  <c r="R575" i="32"/>
  <c r="R576" i="32"/>
  <c r="R577" i="32"/>
  <c r="R578" i="32"/>
  <c r="R579" i="32"/>
  <c r="R580" i="32"/>
  <c r="R581" i="32"/>
  <c r="R582" i="32"/>
  <c r="R583" i="32"/>
  <c r="R584" i="32"/>
  <c r="R585" i="32"/>
  <c r="R586" i="32"/>
  <c r="R587" i="32"/>
  <c r="R588" i="32"/>
  <c r="R589" i="32"/>
  <c r="R590" i="32"/>
  <c r="R591" i="32"/>
  <c r="R592" i="32"/>
  <c r="R593" i="32"/>
  <c r="R594" i="32"/>
  <c r="R595" i="32"/>
  <c r="R596" i="32"/>
  <c r="R597" i="32"/>
  <c r="R598" i="32"/>
  <c r="R599" i="32"/>
  <c r="R600" i="32"/>
  <c r="R601" i="32"/>
  <c r="R602" i="32"/>
  <c r="R603" i="32"/>
  <c r="R604" i="32"/>
  <c r="R605" i="32"/>
  <c r="R606" i="32"/>
  <c r="R607" i="32"/>
  <c r="R608" i="32"/>
  <c r="R609" i="32"/>
  <c r="R610" i="32"/>
  <c r="R611" i="32"/>
  <c r="R612" i="32"/>
  <c r="R613" i="32"/>
  <c r="R614" i="32"/>
  <c r="R615" i="32"/>
  <c r="R616" i="32"/>
  <c r="R617" i="32"/>
  <c r="R618" i="32"/>
  <c r="R619" i="32"/>
  <c r="R620" i="32"/>
  <c r="R621" i="32"/>
  <c r="R622" i="32"/>
  <c r="R623" i="32"/>
  <c r="R624" i="32"/>
  <c r="R625" i="32"/>
  <c r="R626" i="32"/>
  <c r="R627" i="32"/>
  <c r="R628" i="32"/>
  <c r="R629" i="32"/>
  <c r="R630" i="32"/>
  <c r="R631" i="32"/>
  <c r="R632" i="32"/>
  <c r="R633" i="32"/>
  <c r="R634" i="32"/>
  <c r="R635" i="32"/>
  <c r="R636" i="32"/>
  <c r="R637" i="32"/>
  <c r="R638" i="32"/>
  <c r="R639" i="32"/>
  <c r="R640" i="32"/>
  <c r="R641" i="32"/>
  <c r="R642" i="32"/>
  <c r="R643" i="32"/>
  <c r="R644" i="32"/>
  <c r="R645" i="32"/>
  <c r="R646" i="32"/>
  <c r="R647" i="32"/>
  <c r="R648" i="32"/>
  <c r="R649" i="32"/>
  <c r="R650" i="32"/>
  <c r="R651" i="32"/>
  <c r="R652" i="32"/>
  <c r="R653" i="32"/>
  <c r="R654" i="32"/>
  <c r="R655" i="32"/>
  <c r="R656" i="32"/>
  <c r="R657" i="32"/>
  <c r="R658" i="32"/>
  <c r="R659" i="32"/>
  <c r="R660" i="32"/>
  <c r="R661" i="32"/>
  <c r="R662" i="32"/>
  <c r="R663" i="32"/>
  <c r="R664" i="32"/>
  <c r="R665" i="32"/>
  <c r="R666" i="32"/>
  <c r="R667" i="32"/>
  <c r="R668" i="32"/>
  <c r="R669" i="32"/>
  <c r="R670" i="32"/>
  <c r="R671" i="32"/>
  <c r="R672" i="32"/>
  <c r="R673" i="32"/>
  <c r="R674" i="32"/>
  <c r="R675" i="32"/>
  <c r="R676" i="32"/>
  <c r="R677" i="32"/>
  <c r="R678" i="32"/>
  <c r="R679" i="32"/>
  <c r="R680" i="32"/>
  <c r="R681" i="32"/>
  <c r="R682" i="32"/>
  <c r="R683" i="32"/>
  <c r="R684" i="32"/>
  <c r="R685" i="32"/>
  <c r="R686" i="32"/>
  <c r="R687" i="32"/>
  <c r="R688" i="32"/>
  <c r="R689" i="32"/>
  <c r="R690" i="32"/>
  <c r="R691" i="32"/>
  <c r="R692" i="32"/>
  <c r="R693" i="32"/>
  <c r="R694" i="32"/>
  <c r="R695" i="32"/>
  <c r="R696" i="32"/>
  <c r="R697" i="32"/>
  <c r="R698" i="32"/>
  <c r="R699" i="32"/>
  <c r="R700" i="32"/>
  <c r="R701" i="32"/>
  <c r="R702" i="32"/>
  <c r="R703" i="32"/>
  <c r="R704" i="32"/>
  <c r="R705" i="32"/>
  <c r="R706" i="32"/>
  <c r="R707" i="32"/>
  <c r="R708" i="32"/>
  <c r="R709" i="32"/>
  <c r="R710" i="32"/>
  <c r="R711" i="32"/>
  <c r="R712" i="32"/>
  <c r="R713" i="32"/>
  <c r="R714" i="32"/>
  <c r="R715" i="32"/>
  <c r="R716" i="32"/>
  <c r="R717" i="32"/>
  <c r="R718" i="32"/>
  <c r="R719" i="32"/>
  <c r="R720" i="32"/>
  <c r="R721" i="32"/>
  <c r="R722" i="32"/>
  <c r="R723" i="32"/>
  <c r="R724" i="32"/>
  <c r="R725" i="32"/>
  <c r="R726" i="32"/>
  <c r="R727" i="32"/>
  <c r="R728" i="32"/>
  <c r="R729" i="32"/>
  <c r="R730" i="32"/>
  <c r="R731" i="32"/>
  <c r="R732" i="32"/>
  <c r="R733" i="32"/>
  <c r="R734" i="32"/>
  <c r="R735" i="32"/>
  <c r="R736" i="32"/>
  <c r="R737" i="32"/>
  <c r="R738" i="32"/>
  <c r="R739" i="32"/>
  <c r="R740" i="32"/>
  <c r="R741" i="32"/>
  <c r="R742" i="32"/>
  <c r="R743" i="32"/>
  <c r="R744" i="32"/>
  <c r="R745" i="32"/>
  <c r="R746" i="32"/>
  <c r="R747" i="32"/>
  <c r="R748" i="32"/>
  <c r="R749" i="32"/>
  <c r="R750" i="32"/>
  <c r="R751" i="32"/>
  <c r="R752" i="32"/>
  <c r="R753" i="32"/>
  <c r="R754" i="32"/>
  <c r="R755" i="32"/>
  <c r="R756" i="32"/>
  <c r="R757" i="32"/>
  <c r="R758" i="32"/>
  <c r="R759" i="32"/>
  <c r="R760" i="32"/>
  <c r="R761" i="32"/>
  <c r="R762" i="32"/>
  <c r="R763" i="32"/>
  <c r="R764" i="32"/>
  <c r="R765" i="32"/>
  <c r="R766" i="32"/>
  <c r="R767" i="32"/>
  <c r="R768" i="32"/>
  <c r="R769" i="32"/>
  <c r="R770" i="32"/>
  <c r="R771" i="32"/>
  <c r="R772" i="32"/>
  <c r="R773" i="32"/>
  <c r="R774" i="32"/>
  <c r="R775" i="32"/>
  <c r="R776" i="32"/>
  <c r="R777" i="32"/>
  <c r="R778" i="32"/>
  <c r="R779" i="32"/>
  <c r="R780" i="32"/>
  <c r="R781" i="32"/>
  <c r="R782" i="32"/>
  <c r="R783" i="32"/>
  <c r="R784" i="32"/>
  <c r="R785" i="32"/>
  <c r="R786" i="32"/>
  <c r="R787" i="32"/>
  <c r="R788" i="32"/>
  <c r="R789" i="32"/>
  <c r="R790" i="32"/>
  <c r="R791" i="32"/>
  <c r="R792" i="32"/>
  <c r="R793" i="32"/>
  <c r="R794" i="32"/>
  <c r="R795" i="32"/>
  <c r="R796" i="32"/>
  <c r="R797" i="32"/>
  <c r="R798" i="32"/>
  <c r="R799" i="32"/>
  <c r="R800" i="32"/>
  <c r="R801" i="32"/>
  <c r="R802" i="32"/>
  <c r="R803" i="32"/>
  <c r="R804" i="32"/>
  <c r="R805" i="32"/>
  <c r="R806" i="32"/>
  <c r="R807" i="32"/>
  <c r="R808" i="32"/>
  <c r="R809" i="32"/>
  <c r="R810" i="32"/>
  <c r="R811" i="32"/>
  <c r="R812" i="32"/>
  <c r="R813" i="32"/>
  <c r="R814" i="32"/>
  <c r="R815" i="32"/>
  <c r="R816" i="32"/>
  <c r="R817" i="32"/>
  <c r="R818" i="32"/>
  <c r="R819" i="32"/>
  <c r="R820" i="32"/>
  <c r="R821" i="32"/>
  <c r="R822" i="32"/>
  <c r="R823" i="32"/>
  <c r="R824" i="32"/>
  <c r="R825" i="32"/>
  <c r="R826" i="32"/>
  <c r="R827" i="32"/>
  <c r="R828" i="32"/>
  <c r="R829" i="32"/>
  <c r="R830" i="32"/>
  <c r="R831" i="32"/>
  <c r="R832" i="32"/>
  <c r="R833" i="32"/>
  <c r="R834" i="32"/>
  <c r="R835" i="32"/>
  <c r="R836" i="32"/>
  <c r="R837" i="32"/>
  <c r="R838" i="32"/>
  <c r="R839" i="32"/>
  <c r="R840" i="32"/>
  <c r="R841" i="32"/>
  <c r="R842" i="32"/>
  <c r="R843" i="32"/>
  <c r="R844" i="32"/>
  <c r="R845" i="32"/>
  <c r="R846" i="32"/>
  <c r="R847" i="32"/>
  <c r="R848" i="32"/>
  <c r="R849" i="32"/>
  <c r="R850" i="32"/>
  <c r="R851" i="32"/>
  <c r="R852" i="32"/>
  <c r="R853" i="32"/>
  <c r="R854" i="32"/>
  <c r="R855" i="32"/>
  <c r="R856" i="32"/>
  <c r="R857" i="32"/>
  <c r="R858" i="32"/>
  <c r="R859" i="32"/>
  <c r="R860" i="32"/>
  <c r="R861" i="32"/>
  <c r="R862" i="32"/>
  <c r="R863" i="32"/>
  <c r="W1" i="32" l="1"/>
  <c r="Q863" i="32"/>
  <c r="Q862" i="32"/>
  <c r="Q861" i="32"/>
  <c r="Q860" i="32"/>
  <c r="Q857" i="32"/>
  <c r="Q856" i="32"/>
  <c r="Q855" i="32"/>
  <c r="Q854" i="32"/>
  <c r="Q851" i="32"/>
  <c r="Q850" i="32"/>
  <c r="Q847" i="32"/>
  <c r="Q844" i="32"/>
  <c r="Q843" i="32"/>
  <c r="Q840" i="32"/>
  <c r="Q839" i="32"/>
  <c r="Q836" i="32"/>
  <c r="Q835" i="32"/>
  <c r="Q834" i="32"/>
  <c r="Q831" i="32"/>
  <c r="Q830" i="32"/>
  <c r="Q829" i="32"/>
  <c r="Q828" i="32"/>
  <c r="Q827" i="32"/>
  <c r="Q826" i="32"/>
  <c r="Q825" i="32"/>
  <c r="Q824" i="32"/>
  <c r="Q821" i="32"/>
  <c r="Q820" i="32"/>
  <c r="Q817" i="32"/>
  <c r="Q816" i="32"/>
  <c r="Q815" i="32"/>
  <c r="Q814" i="32"/>
  <c r="Q813" i="32"/>
  <c r="Q812" i="32"/>
  <c r="Q809" i="32"/>
  <c r="Q808" i="32"/>
  <c r="Q807" i="32"/>
  <c r="Q806" i="32"/>
  <c r="Q805" i="32"/>
  <c r="Q802" i="32"/>
  <c r="Q801" i="32"/>
  <c r="Q800" i="32"/>
  <c r="Q797" i="32"/>
  <c r="Q796" i="32"/>
  <c r="Q795" i="32"/>
  <c r="Q794" i="32"/>
  <c r="Q793" i="32"/>
  <c r="Q792" i="32"/>
  <c r="Q791" i="32"/>
  <c r="Q788" i="32"/>
  <c r="Q787" i="32"/>
  <c r="Q786" i="32"/>
  <c r="Q785" i="32"/>
  <c r="Q782" i="32"/>
  <c r="Q781" i="32"/>
  <c r="Q780" i="32"/>
  <c r="Q779" i="32"/>
  <c r="Q778" i="32"/>
  <c r="Q777" i="32"/>
  <c r="Q774" i="32"/>
  <c r="Q773" i="32"/>
  <c r="Q772" i="32"/>
  <c r="Q771" i="32"/>
  <c r="Q770" i="32"/>
  <c r="Q767" i="32"/>
  <c r="Q766" i="32"/>
  <c r="Q765" i="32"/>
  <c r="Q762" i="32"/>
  <c r="Q761" i="32"/>
  <c r="Q760" i="32"/>
  <c r="Q759" i="32"/>
  <c r="Q756" i="32"/>
  <c r="Q755" i="32"/>
  <c r="Q754" i="32"/>
  <c r="Q753" i="32"/>
  <c r="Q750" i="32"/>
  <c r="Q747" i="32"/>
  <c r="Q746" i="32"/>
  <c r="Q745" i="32"/>
  <c r="Q744" i="32"/>
  <c r="Q741" i="32"/>
  <c r="Q740" i="32"/>
  <c r="Q737" i="32"/>
  <c r="Q736" i="32"/>
  <c r="Q733" i="32"/>
  <c r="Q732" i="32"/>
  <c r="Q731" i="32"/>
  <c r="Q730" i="32"/>
  <c r="Q727" i="32"/>
  <c r="Q726" i="32"/>
  <c r="Q725" i="32"/>
  <c r="Q724" i="32"/>
  <c r="Q723" i="32"/>
  <c r="Q722" i="32"/>
  <c r="Q721" i="32"/>
  <c r="Q720" i="32"/>
  <c r="Q717" i="32"/>
  <c r="Q716" i="32"/>
  <c r="Q715" i="32"/>
  <c r="Q712" i="32"/>
  <c r="Q711" i="32"/>
  <c r="Q710" i="32"/>
  <c r="Q709" i="32"/>
  <c r="Q708" i="32"/>
  <c r="Q707" i="32"/>
  <c r="Q706" i="32"/>
  <c r="Q703" i="32"/>
  <c r="Q700" i="32"/>
  <c r="Q697" i="32"/>
  <c r="Q696" i="32"/>
  <c r="Q695" i="32"/>
  <c r="Q694" i="32"/>
  <c r="Q693" i="32"/>
  <c r="Q690" i="32"/>
  <c r="Q689" i="32"/>
  <c r="Q688" i="32"/>
  <c r="Q687" i="32"/>
  <c r="Q686" i="32"/>
  <c r="Q685" i="32"/>
  <c r="Q684" i="32"/>
  <c r="Q683" i="32"/>
  <c r="Q682" i="32"/>
  <c r="Q681" i="32"/>
  <c r="Q680" i="32"/>
  <c r="Q676" i="32"/>
  <c r="Q675" i="32"/>
  <c r="Q674" i="32"/>
  <c r="Q673" i="32"/>
  <c r="Q670" i="32"/>
  <c r="Q669" i="32"/>
  <c r="Q668" i="32"/>
  <c r="Q667" i="32"/>
  <c r="Q666" i="32"/>
  <c r="Q663" i="32"/>
  <c r="Q662" i="32"/>
  <c r="Q661" i="32"/>
  <c r="Q660" i="32"/>
  <c r="Q659" i="32"/>
  <c r="Q658" i="32"/>
  <c r="Q454" i="32"/>
  <c r="Q456" i="32"/>
  <c r="Q654" i="32"/>
  <c r="Q653" i="32"/>
  <c r="Q652" i="32"/>
  <c r="Q651" i="32"/>
  <c r="Q650" i="32"/>
  <c r="Q649" i="32"/>
  <c r="Q648" i="32"/>
  <c r="Q647" i="32"/>
  <c r="Q646" i="32"/>
  <c r="Q645" i="32"/>
  <c r="Q644" i="32"/>
  <c r="Q641" i="32"/>
  <c r="Q640" i="32"/>
  <c r="Q639" i="32"/>
  <c r="Q638" i="32"/>
  <c r="Q637" i="32"/>
  <c r="Q636" i="32"/>
  <c r="Q635" i="32"/>
  <c r="Q634" i="32"/>
  <c r="Q633" i="32"/>
  <c r="Q631" i="32"/>
  <c r="Q630" i="32"/>
  <c r="Q629" i="32"/>
  <c r="Q628" i="32"/>
  <c r="Q626" i="32"/>
  <c r="Q625" i="32"/>
  <c r="Q624" i="32"/>
  <c r="Q623" i="32"/>
  <c r="Q622" i="32"/>
  <c r="Q621" i="32"/>
  <c r="Q620" i="32"/>
  <c r="Q619" i="32"/>
  <c r="Q618" i="32"/>
  <c r="Q617" i="32"/>
  <c r="Q616" i="32"/>
  <c r="Q615" i="32"/>
  <c r="Q613" i="32"/>
  <c r="Q612" i="32"/>
  <c r="Q611" i="32"/>
  <c r="Q610" i="32"/>
  <c r="Q609" i="32"/>
  <c r="Q608" i="32"/>
  <c r="Q607" i="32"/>
  <c r="Q606" i="32"/>
  <c r="Q605" i="32"/>
  <c r="Q604" i="32"/>
  <c r="Q603" i="32"/>
  <c r="Q601" i="32"/>
  <c r="Q600" i="32"/>
  <c r="Q599" i="32"/>
  <c r="Q598" i="32"/>
  <c r="Q597" i="32"/>
  <c r="Q596" i="32"/>
  <c r="Q595" i="32"/>
  <c r="Q594" i="32"/>
  <c r="Q593" i="32"/>
  <c r="Q592" i="32"/>
  <c r="Q591" i="32"/>
  <c r="Q590" i="32"/>
  <c r="Q588" i="32"/>
  <c r="Q587" i="32"/>
  <c r="Q586" i="32"/>
  <c r="Q585" i="32"/>
  <c r="Q584" i="32"/>
  <c r="Q582" i="32"/>
  <c r="Q581" i="32"/>
  <c r="Q580" i="32"/>
  <c r="Q579" i="32"/>
  <c r="Q578" i="32"/>
  <c r="Q577" i="32"/>
  <c r="Q576" i="32"/>
  <c r="Q575" i="32"/>
  <c r="Q574" i="32"/>
  <c r="Q572" i="32"/>
  <c r="Q571" i="32"/>
  <c r="Q570" i="32"/>
  <c r="Q569" i="32"/>
  <c r="Q568" i="32"/>
  <c r="Q567" i="32"/>
  <c r="Q566" i="32"/>
  <c r="Q565" i="32"/>
  <c r="Q563" i="32"/>
  <c r="Q562" i="32"/>
  <c r="Q561" i="32"/>
  <c r="Q560" i="32"/>
  <c r="Q559" i="32"/>
  <c r="Q558" i="32"/>
  <c r="Q557" i="32"/>
  <c r="Q556" i="32"/>
  <c r="Q555" i="32"/>
  <c r="Q552" i="32"/>
  <c r="Q551" i="32"/>
  <c r="Q550" i="32"/>
  <c r="Q548" i="32"/>
  <c r="Q547" i="32"/>
  <c r="Q546" i="32"/>
  <c r="Q545" i="32"/>
  <c r="Q544" i="32"/>
  <c r="Q543" i="32"/>
  <c r="Q542" i="32"/>
  <c r="Q541" i="32"/>
  <c r="Q540" i="32"/>
  <c r="Q539" i="32"/>
  <c r="Q538" i="32"/>
  <c r="Q537" i="32"/>
  <c r="Q535" i="32"/>
  <c r="Q534" i="32"/>
  <c r="Q533" i="32"/>
  <c r="Q532" i="32"/>
  <c r="Q531" i="32"/>
  <c r="Q530" i="32"/>
  <c r="Q529" i="32"/>
  <c r="Q528" i="32"/>
  <c r="Q527" i="32"/>
  <c r="Q526" i="32"/>
  <c r="Q525" i="32"/>
  <c r="Q524" i="32"/>
  <c r="Q523" i="32"/>
  <c r="Q522" i="32"/>
  <c r="Q521" i="32"/>
  <c r="Q520" i="32"/>
  <c r="Q519" i="32"/>
  <c r="Q518" i="32"/>
  <c r="Q517" i="32"/>
  <c r="Q516" i="32"/>
  <c r="Q515" i="32"/>
  <c r="Q514" i="32"/>
  <c r="Q512" i="32"/>
  <c r="Q511" i="32"/>
  <c r="Q510" i="32"/>
  <c r="Q509" i="32"/>
  <c r="Q508" i="32"/>
  <c r="Q507" i="32"/>
  <c r="Q506" i="32"/>
  <c r="Q505" i="32"/>
  <c r="Q504" i="32"/>
  <c r="Q502" i="32"/>
  <c r="Q501" i="32"/>
  <c r="Q500" i="32"/>
  <c r="Q499" i="32"/>
  <c r="Q498" i="32"/>
  <c r="Q497" i="32"/>
  <c r="Q494" i="32"/>
  <c r="Q493" i="32"/>
  <c r="Q492" i="32"/>
  <c r="Q491" i="32"/>
  <c r="Q490" i="32"/>
  <c r="Q489" i="32"/>
  <c r="Q488" i="32"/>
  <c r="Q487" i="32"/>
  <c r="Q486" i="32"/>
  <c r="Q485" i="32"/>
  <c r="Q484" i="32"/>
  <c r="Q483" i="32"/>
  <c r="Q482" i="32"/>
  <c r="Q481" i="32"/>
  <c r="Q480" i="32"/>
  <c r="Q479" i="32"/>
  <c r="Q478" i="32"/>
  <c r="Q477" i="32"/>
  <c r="Q476" i="32"/>
  <c r="Q475" i="32"/>
  <c r="Q474" i="32"/>
  <c r="Q473" i="32"/>
  <c r="Q472" i="32"/>
  <c r="Q471" i="32"/>
  <c r="Q468" i="32"/>
  <c r="Q467" i="32"/>
  <c r="Q466" i="32"/>
  <c r="Q465" i="32"/>
  <c r="Q464" i="32"/>
  <c r="Q463" i="32"/>
  <c r="Q462" i="32"/>
  <c r="Q459" i="32"/>
  <c r="Q458" i="32"/>
  <c r="Q457" i="32"/>
  <c r="Q455" i="32"/>
  <c r="Q453" i="32"/>
  <c r="Q452" i="32"/>
  <c r="Q451" i="32"/>
  <c r="Q450" i="32"/>
  <c r="Q449" i="32"/>
  <c r="Q448" i="32"/>
  <c r="Q447" i="32"/>
  <c r="Q446" i="32"/>
  <c r="Q442" i="32"/>
  <c r="Q441" i="32"/>
  <c r="Q440" i="32"/>
  <c r="Q439" i="32"/>
  <c r="Q438" i="32"/>
  <c r="Q437" i="32"/>
  <c r="Q436" i="32"/>
  <c r="Q435" i="32"/>
  <c r="Q434" i="32"/>
  <c r="Q433" i="32"/>
  <c r="Q432" i="32"/>
  <c r="Q429" i="32"/>
  <c r="Q428" i="32"/>
  <c r="Q427" i="32"/>
  <c r="Q426" i="32"/>
  <c r="Q425" i="32"/>
  <c r="Q424" i="32"/>
  <c r="Q423" i="32"/>
  <c r="Q422" i="32"/>
  <c r="Q421" i="32"/>
  <c r="Q420" i="32"/>
  <c r="Q417" i="32"/>
  <c r="Q416" i="32"/>
  <c r="Q415" i="32"/>
  <c r="Q414" i="32"/>
  <c r="Q413" i="32"/>
  <c r="Q412" i="32"/>
  <c r="Q411" i="32"/>
  <c r="Q410" i="32"/>
  <c r="Q409" i="32"/>
  <c r="Q408" i="32"/>
  <c r="Q405" i="32"/>
  <c r="Q404" i="32"/>
  <c r="Q403" i="32"/>
  <c r="Q402" i="32"/>
  <c r="Q401" i="32"/>
  <c r="Q400" i="32"/>
  <c r="Q399" i="32"/>
  <c r="Q398" i="32"/>
  <c r="Q397" i="32"/>
  <c r="Q396" i="32"/>
  <c r="Q395" i="32"/>
  <c r="Q392" i="32"/>
  <c r="Q391" i="32"/>
  <c r="Q390" i="32"/>
  <c r="Q389" i="32"/>
  <c r="Q388" i="32"/>
  <c r="Q387" i="32"/>
  <c r="Q386" i="32"/>
  <c r="Q385" i="32"/>
  <c r="Q384" i="32"/>
  <c r="Q383" i="32"/>
  <c r="Q382" i="32"/>
  <c r="Q381" i="32"/>
  <c r="Q380" i="32"/>
  <c r="Q379" i="32"/>
  <c r="Q378" i="32"/>
  <c r="Q377" i="32"/>
  <c r="Q376" i="32"/>
  <c r="Q375" i="32"/>
  <c r="Q374" i="32"/>
  <c r="Q373" i="32"/>
  <c r="Q370" i="32"/>
  <c r="Q369" i="32"/>
  <c r="Q368" i="32"/>
  <c r="Q367" i="32"/>
  <c r="Q366" i="32"/>
  <c r="Q365" i="32"/>
  <c r="Q364" i="32"/>
  <c r="Q363" i="32"/>
  <c r="Q362" i="32"/>
  <c r="Q361" i="32"/>
  <c r="Q360" i="32"/>
  <c r="Q359" i="32"/>
  <c r="Q358" i="32"/>
  <c r="Q357" i="32"/>
  <c r="Q356" i="32"/>
  <c r="Q355" i="32"/>
  <c r="Q354" i="32"/>
  <c r="Q353" i="32"/>
  <c r="Q352" i="32"/>
  <c r="Q351" i="32"/>
  <c r="Q350" i="32"/>
  <c r="Q349" i="32"/>
  <c r="Q348" i="32"/>
  <c r="Q347" i="32"/>
  <c r="Q346" i="32"/>
  <c r="Q345" i="32"/>
  <c r="Q341" i="32"/>
  <c r="Q340" i="32"/>
  <c r="Q339" i="32"/>
  <c r="Q338" i="32"/>
  <c r="Q337" i="32"/>
  <c r="Q334" i="32"/>
  <c r="Q333" i="32"/>
  <c r="Q332" i="32"/>
  <c r="Q331" i="32"/>
  <c r="Q328" i="32"/>
  <c r="Q327" i="32"/>
  <c r="Q326" i="32"/>
  <c r="Q325" i="32"/>
  <c r="Q324" i="32"/>
  <c r="Q323" i="32"/>
  <c r="Q322" i="32"/>
  <c r="Q321" i="32"/>
  <c r="Q320" i="32"/>
  <c r="Q319" i="32"/>
  <c r="Q318" i="32"/>
  <c r="Q315" i="32"/>
  <c r="Q314" i="32"/>
  <c r="Q313" i="32"/>
  <c r="Q312" i="32"/>
  <c r="Q311" i="32"/>
  <c r="Q310" i="32"/>
  <c r="Q309" i="32"/>
  <c r="Q308" i="32"/>
  <c r="Q307" i="32"/>
  <c r="Q306" i="32"/>
  <c r="Q305" i="32"/>
  <c r="Q302" i="32"/>
  <c r="Q301" i="32"/>
  <c r="Q300" i="32"/>
  <c r="Q299" i="32"/>
  <c r="Q298" i="32"/>
  <c r="Q297" i="32"/>
  <c r="Q296" i="32"/>
  <c r="Q295" i="32"/>
  <c r="Q294" i="32"/>
  <c r="Q293" i="32"/>
  <c r="Q292" i="32"/>
  <c r="Q289" i="32"/>
  <c r="Q288" i="32"/>
  <c r="Q287" i="32"/>
  <c r="Q286" i="32"/>
  <c r="Q285" i="32"/>
  <c r="Q284" i="32"/>
  <c r="Q283" i="32"/>
  <c r="Q282" i="32"/>
  <c r="Q281" i="32"/>
  <c r="Q280" i="32"/>
  <c r="Q279" i="32"/>
  <c r="Q276" i="32"/>
  <c r="Q275" i="32"/>
  <c r="Q274" i="32"/>
  <c r="Q273" i="32"/>
  <c r="Q272" i="32"/>
  <c r="Q271" i="32"/>
  <c r="Q270" i="32"/>
  <c r="Q269" i="32"/>
  <c r="Q268" i="32"/>
  <c r="Q267" i="32"/>
  <c r="Q266" i="32"/>
  <c r="Q265" i="32"/>
  <c r="Q264" i="32"/>
  <c r="Q263" i="32"/>
  <c r="Q262" i="32"/>
  <c r="Q261" i="32"/>
  <c r="Q260" i="32"/>
  <c r="Q259" i="32"/>
  <c r="Q258" i="32"/>
  <c r="Q257" i="32"/>
  <c r="Q254" i="32"/>
  <c r="Q253" i="32"/>
  <c r="Q252" i="32"/>
  <c r="Q251" i="32"/>
  <c r="Q250" i="32"/>
  <c r="Q249" i="32"/>
  <c r="Q248" i="32"/>
  <c r="Q247" i="32"/>
  <c r="Q246" i="32"/>
  <c r="Q245" i="32"/>
  <c r="Q244" i="32"/>
  <c r="Q243" i="32"/>
  <c r="Q242" i="32"/>
  <c r="Q241" i="32"/>
  <c r="Q240" i="32"/>
  <c r="Q239" i="32"/>
  <c r="Q238" i="32"/>
  <c r="Q237" i="32"/>
  <c r="Q236" i="32"/>
  <c r="Q235" i="32"/>
  <c r="Q234" i="32"/>
  <c r="Q233" i="32"/>
  <c r="Q232" i="32"/>
  <c r="Q231" i="32"/>
  <c r="Q230" i="32"/>
  <c r="Q229" i="32"/>
  <c r="Q225" i="32"/>
  <c r="Q224" i="32"/>
  <c r="Q223" i="32"/>
  <c r="Q222" i="32"/>
  <c r="Q221" i="32"/>
  <c r="Q220" i="32"/>
  <c r="Q219" i="32"/>
  <c r="Q218" i="32"/>
  <c r="Q217" i="32"/>
  <c r="Q216" i="32"/>
  <c r="Q215" i="32"/>
  <c r="Q212" i="32"/>
  <c r="Q211" i="32"/>
  <c r="Q210" i="32"/>
  <c r="Q207" i="32"/>
  <c r="Q206" i="32"/>
  <c r="Q205" i="32"/>
  <c r="Q204" i="32"/>
  <c r="Q203" i="32"/>
  <c r="Q202" i="32"/>
  <c r="Q201" i="32"/>
  <c r="Q200" i="32"/>
  <c r="Q199" i="32"/>
  <c r="Q198" i="32"/>
  <c r="Q195" i="32"/>
  <c r="Q194" i="32"/>
  <c r="Q193" i="32"/>
  <c r="Q192" i="32"/>
  <c r="Q191" i="32"/>
  <c r="Q190" i="32"/>
  <c r="Q189" i="32"/>
  <c r="Q188" i="32"/>
  <c r="Q187" i="32"/>
  <c r="Q186" i="32"/>
  <c r="Q185" i="32"/>
  <c r="Q184" i="32"/>
  <c r="Q183" i="32"/>
  <c r="Q182" i="32"/>
  <c r="Q181" i="32"/>
  <c r="Q180" i="32"/>
  <c r="Q179" i="32"/>
  <c r="Q178" i="32"/>
  <c r="Q177" i="32"/>
  <c r="Q176" i="32"/>
  <c r="Q173" i="32"/>
  <c r="Q172" i="32"/>
  <c r="Q171" i="32"/>
  <c r="Q170" i="32"/>
  <c r="Q169" i="32"/>
  <c r="Q168" i="32"/>
  <c r="Q167" i="32"/>
  <c r="Q166" i="32"/>
  <c r="Q165" i="32"/>
  <c r="Q164" i="32"/>
  <c r="Q163" i="32"/>
  <c r="Q160" i="32"/>
  <c r="Q159" i="32"/>
  <c r="Q158" i="32"/>
  <c r="Q157" i="32"/>
  <c r="Q156" i="32"/>
  <c r="Q155" i="32"/>
  <c r="Q154" i="32"/>
  <c r="Q153" i="32"/>
  <c r="Q152" i="32"/>
  <c r="Q151" i="32"/>
  <c r="Q150" i="32"/>
  <c r="Q149" i="32"/>
  <c r="Q148" i="32"/>
  <c r="Q147" i="32"/>
  <c r="Q146" i="32"/>
  <c r="Q145" i="32"/>
  <c r="Q144" i="32"/>
  <c r="Q143" i="32"/>
  <c r="Q142" i="32"/>
  <c r="Q141" i="32"/>
  <c r="Q138" i="32"/>
  <c r="Q137" i="32"/>
  <c r="Q136" i="32"/>
  <c r="Q135" i="32"/>
  <c r="Q134" i="32"/>
  <c r="Q133" i="32"/>
  <c r="Q132" i="32"/>
  <c r="Q131" i="32"/>
  <c r="Q130" i="32"/>
  <c r="Q129" i="32"/>
  <c r="Q128" i="32"/>
  <c r="Q127" i="32"/>
  <c r="Q126" i="32"/>
  <c r="Q125" i="32"/>
  <c r="Q124" i="32"/>
  <c r="Q123" i="32"/>
  <c r="Q122" i="32"/>
  <c r="Q121" i="32"/>
  <c r="Q120" i="32"/>
  <c r="Q119" i="32"/>
  <c r="Q118" i="32"/>
  <c r="Q117" i="32"/>
  <c r="Q116" i="32"/>
  <c r="Q115" i="32"/>
  <c r="Q114" i="32"/>
  <c r="Q113" i="32"/>
  <c r="Q109" i="32"/>
  <c r="Q108" i="32"/>
  <c r="Q107" i="32"/>
  <c r="Q106" i="32"/>
  <c r="Q105" i="32"/>
  <c r="Q104" i="32"/>
  <c r="Q103" i="32"/>
  <c r="Q102" i="32"/>
  <c r="Q101" i="32"/>
  <c r="Q98" i="32"/>
  <c r="Q97" i="32"/>
  <c r="Q94" i="32"/>
  <c r="Q93" i="32"/>
  <c r="Q92" i="32"/>
  <c r="Q91" i="32"/>
  <c r="Q90" i="32"/>
  <c r="Q89" i="32"/>
  <c r="Q88" i="32"/>
  <c r="Q87" i="32"/>
  <c r="Q86" i="32"/>
  <c r="Q85" i="32"/>
  <c r="Q84" i="32"/>
  <c r="Q83" i="32"/>
  <c r="Q82" i="32"/>
  <c r="Q81" i="32"/>
  <c r="Q78" i="32"/>
  <c r="Q77" i="32"/>
  <c r="Q76" i="32"/>
  <c r="Q75" i="32"/>
  <c r="Q74" i="32"/>
  <c r="Q73" i="32"/>
  <c r="Q72" i="32"/>
  <c r="Q71" i="32"/>
  <c r="Q70" i="32"/>
  <c r="Q69" i="32"/>
  <c r="Q68" i="32"/>
  <c r="Q65" i="32"/>
  <c r="Q64" i="32"/>
  <c r="Q63" i="32"/>
  <c r="Q62" i="32"/>
  <c r="Q61" i="32"/>
  <c r="Q60" i="32"/>
  <c r="Q59" i="32"/>
  <c r="Q58" i="32"/>
  <c r="Q57" i="32"/>
  <c r="Q56" i="32"/>
  <c r="Q55" i="32"/>
  <c r="Q54" i="32"/>
  <c r="Q53" i="32"/>
  <c r="Q52" i="32"/>
  <c r="Q51" i="32"/>
  <c r="Q50" i="32"/>
  <c r="Q49" i="32"/>
  <c r="Q48" i="32"/>
  <c r="Q47" i="32"/>
  <c r="Q46" i="32"/>
  <c r="Q45" i="32"/>
  <c r="Q44" i="32"/>
  <c r="Q43" i="32"/>
  <c r="Q42" i="32"/>
  <c r="Q41" i="32"/>
  <c r="Q40" i="32"/>
  <c r="Q39" i="32"/>
  <c r="Q38" i="32"/>
  <c r="Q35" i="32"/>
  <c r="Q34" i="32"/>
  <c r="Q33" i="32"/>
  <c r="Q32" i="32"/>
  <c r="Q31" i="32"/>
  <c r="Q30" i="32"/>
  <c r="Q29" i="32"/>
  <c r="Q28" i="32"/>
  <c r="Q27" i="32"/>
  <c r="Q26" i="32"/>
  <c r="Q25" i="32"/>
  <c r="Q24" i="32"/>
  <c r="Q23" i="32"/>
  <c r="Q22" i="32"/>
  <c r="Q21" i="32"/>
  <c r="Q20" i="32"/>
  <c r="Q19" i="32"/>
  <c r="Q18" i="32"/>
  <c r="Q17" i="32"/>
  <c r="Q16" i="32"/>
  <c r="Q15" i="32"/>
  <c r="Q14" i="32"/>
  <c r="Q13" i="32"/>
  <c r="Q12" i="32"/>
  <c r="Q11" i="32"/>
  <c r="Q10" i="32"/>
  <c r="Q9" i="32"/>
  <c r="Q8" i="32"/>
  <c r="Q7" i="32"/>
  <c r="Q6" i="32"/>
  <c r="Q5" i="32"/>
  <c r="R174" i="17"/>
  <c r="O174" i="17" l="1"/>
  <c r="P174" i="17"/>
  <c r="Q174" i="17"/>
  <c r="S174" i="17"/>
  <c r="T174" i="17"/>
  <c r="U174" i="17"/>
  <c r="V174" i="17"/>
  <c r="W174" i="17"/>
  <c r="X174" i="17"/>
  <c r="Y174" i="17"/>
  <c r="Z174" i="17"/>
  <c r="AA174" i="17"/>
  <c r="AB174" i="17"/>
  <c r="AC174" i="17"/>
  <c r="AD174" i="17"/>
  <c r="AE174" i="17"/>
  <c r="AF174" i="17"/>
  <c r="AG174" i="17"/>
  <c r="AH174" i="17"/>
  <c r="AI174" i="17"/>
  <c r="H175" i="17"/>
  <c r="H174" i="17"/>
  <c r="H145" i="17" l="1"/>
  <c r="H90" i="16"/>
  <c r="F64" i="19"/>
  <c r="F65" i="19"/>
  <c r="F66" i="19"/>
  <c r="F67" i="19"/>
  <c r="F68" i="19"/>
  <c r="F69" i="19"/>
  <c r="F70" i="19"/>
  <c r="F71" i="19"/>
  <c r="F63" i="19"/>
  <c r="H185" i="17"/>
  <c r="H186" i="17"/>
  <c r="H187" i="17"/>
  <c r="H184" i="17"/>
  <c r="H179" i="17"/>
  <c r="H180" i="17"/>
  <c r="H181" i="17"/>
  <c r="H178" i="17"/>
  <c r="H168" i="17"/>
  <c r="H171" i="17"/>
  <c r="H167" i="17"/>
  <c r="H164" i="17"/>
  <c r="H163" i="17"/>
  <c r="H159" i="17"/>
  <c r="H160" i="17"/>
  <c r="H158" i="17"/>
  <c r="H149" i="17"/>
  <c r="H150" i="17"/>
  <c r="H151" i="17"/>
  <c r="H152" i="17"/>
  <c r="H153" i="17"/>
  <c r="H154" i="17"/>
  <c r="H155" i="17"/>
  <c r="H148" i="17"/>
  <c r="H144" i="17"/>
  <c r="H130" i="17"/>
  <c r="H131" i="17"/>
  <c r="H132" i="17"/>
  <c r="H133" i="17"/>
  <c r="H136" i="17"/>
  <c r="H137" i="17"/>
  <c r="H138" i="17"/>
  <c r="H139" i="17"/>
  <c r="H140" i="17"/>
  <c r="H141" i="17"/>
  <c r="H129" i="17"/>
  <c r="H125" i="17"/>
  <c r="H126" i="17"/>
  <c r="H124" i="17"/>
  <c r="H116" i="17"/>
  <c r="H117" i="17"/>
  <c r="H118" i="17"/>
  <c r="H119" i="17"/>
  <c r="H120" i="17"/>
  <c r="H121" i="17"/>
  <c r="H115" i="17"/>
  <c r="H110" i="17"/>
  <c r="H111" i="17"/>
  <c r="H112" i="17"/>
  <c r="H109" i="17"/>
  <c r="H101" i="17"/>
  <c r="H102" i="17"/>
  <c r="H103" i="17"/>
  <c r="H104" i="17"/>
  <c r="H105" i="17"/>
  <c r="H106" i="17"/>
  <c r="H95" i="17"/>
  <c r="H96" i="17"/>
  <c r="H97" i="17"/>
  <c r="H98" i="17"/>
  <c r="H94" i="17"/>
  <c r="H90" i="17"/>
  <c r="H91" i="17"/>
  <c r="H89" i="17"/>
  <c r="H84" i="17"/>
  <c r="H85" i="17"/>
  <c r="H86" i="17"/>
  <c r="H83" i="17"/>
  <c r="H78" i="17"/>
  <c r="H79" i="17"/>
  <c r="H80" i="17"/>
  <c r="H77" i="17"/>
  <c r="H74" i="17"/>
  <c r="H69" i="17"/>
  <c r="H70" i="17"/>
  <c r="H71" i="17"/>
  <c r="H68" i="17"/>
  <c r="H65" i="17"/>
  <c r="H64" i="17"/>
  <c r="H61" i="17"/>
  <c r="H60" i="17"/>
  <c r="H45" i="17"/>
  <c r="H46" i="17"/>
  <c r="H47" i="17"/>
  <c r="H48" i="17"/>
  <c r="H49" i="17"/>
  <c r="H50" i="17"/>
  <c r="H51" i="17"/>
  <c r="H54" i="17"/>
  <c r="H55" i="17"/>
  <c r="H56" i="17"/>
  <c r="H57" i="17"/>
  <c r="H44" i="17"/>
  <c r="H40" i="17"/>
  <c r="H41" i="17"/>
  <c r="H39" i="17"/>
  <c r="H31" i="17"/>
  <c r="H32" i="17"/>
  <c r="H33" i="17"/>
  <c r="H34" i="17"/>
  <c r="H35" i="17"/>
  <c r="H36" i="17"/>
  <c r="H30" i="17"/>
  <c r="H27" i="17"/>
  <c r="H24" i="17"/>
  <c r="H18" i="17"/>
  <c r="H19" i="17"/>
  <c r="H20" i="17"/>
  <c r="H21" i="17"/>
  <c r="H17" i="17"/>
  <c r="H5" i="17"/>
  <c r="H6" i="17"/>
  <c r="H7" i="17"/>
  <c r="H8" i="17"/>
  <c r="H9" i="17"/>
  <c r="H10" i="17"/>
  <c r="H11" i="17"/>
  <c r="H12" i="17"/>
  <c r="H13" i="17"/>
  <c r="H14" i="17"/>
  <c r="H4" i="17"/>
  <c r="F20" i="21"/>
  <c r="F21" i="21"/>
  <c r="F22" i="21"/>
  <c r="F19" i="21"/>
  <c r="F13" i="21"/>
  <c r="F14" i="21"/>
  <c r="F15" i="21"/>
  <c r="F16" i="21"/>
  <c r="F12" i="21"/>
  <c r="F5" i="21"/>
  <c r="F6" i="21"/>
  <c r="F7" i="21"/>
  <c r="F8" i="21"/>
  <c r="F9" i="21"/>
  <c r="F4" i="21"/>
  <c r="F5" i="30"/>
  <c r="F6" i="30"/>
  <c r="F7" i="30"/>
  <c r="F8" i="30"/>
  <c r="F9" i="30"/>
  <c r="F10" i="30"/>
  <c r="F11" i="30"/>
  <c r="F12" i="30"/>
  <c r="F13" i="30"/>
  <c r="F14" i="30"/>
  <c r="F4" i="30"/>
  <c r="F5" i="20"/>
  <c r="F6" i="20"/>
  <c r="F7" i="20"/>
  <c r="F8" i="20"/>
  <c r="F9" i="20"/>
  <c r="F10" i="20"/>
  <c r="F11" i="20"/>
  <c r="F12" i="20"/>
  <c r="F16" i="20"/>
  <c r="F17" i="20"/>
  <c r="F18" i="20"/>
  <c r="F19" i="20"/>
  <c r="F20" i="20"/>
  <c r="F21" i="20"/>
  <c r="F22" i="20"/>
  <c r="F26" i="20"/>
  <c r="F27" i="20"/>
  <c r="F28" i="20"/>
  <c r="F29" i="20"/>
  <c r="F30" i="20"/>
  <c r="F31" i="20"/>
  <c r="F32" i="20"/>
  <c r="F33" i="20"/>
  <c r="F37" i="20"/>
  <c r="F38" i="20"/>
  <c r="F39" i="20"/>
  <c r="F40" i="20"/>
  <c r="F44" i="20"/>
  <c r="F45" i="20"/>
  <c r="F46" i="20"/>
  <c r="F47" i="20"/>
  <c r="F48" i="20"/>
  <c r="F49" i="20"/>
  <c r="F50" i="20"/>
  <c r="F51" i="20"/>
  <c r="F52" i="20"/>
  <c r="F53" i="20"/>
  <c r="F54" i="20"/>
  <c r="F58" i="20"/>
  <c r="F59" i="20"/>
  <c r="F60" i="20"/>
  <c r="F61" i="20"/>
  <c r="F62" i="20"/>
  <c r="F63" i="20"/>
  <c r="F64" i="20"/>
  <c r="F65" i="20"/>
  <c r="F66" i="20"/>
  <c r="F67" i="20"/>
  <c r="F71" i="20"/>
  <c r="F72" i="20"/>
  <c r="F73" i="20"/>
  <c r="F74" i="20"/>
  <c r="F75" i="20"/>
  <c r="F76" i="20"/>
  <c r="F77" i="20"/>
  <c r="F78" i="20"/>
  <c r="F79" i="20"/>
  <c r="F80" i="20"/>
  <c r="F81" i="20"/>
  <c r="F85" i="20"/>
  <c r="F86" i="20"/>
  <c r="F87" i="20"/>
  <c r="F91" i="20"/>
  <c r="F92" i="20"/>
  <c r="F93" i="20"/>
  <c r="F94" i="20"/>
  <c r="F95" i="20"/>
  <c r="F96" i="20"/>
  <c r="F97" i="20"/>
  <c r="F98" i="20"/>
  <c r="F90" i="20"/>
  <c r="F84" i="20"/>
  <c r="F70" i="20"/>
  <c r="F57" i="20"/>
  <c r="F43" i="20"/>
  <c r="F36" i="20"/>
  <c r="F25" i="20"/>
  <c r="F15" i="20"/>
  <c r="F4" i="20"/>
  <c r="F56" i="19"/>
  <c r="F57" i="19"/>
  <c r="F58" i="19"/>
  <c r="F59" i="19"/>
  <c r="F60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21" i="19"/>
  <c r="F22" i="19"/>
  <c r="F23" i="19"/>
  <c r="F24" i="19"/>
  <c r="F25" i="19"/>
  <c r="F26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4" i="19"/>
  <c r="F20" i="19"/>
  <c r="F29" i="19"/>
  <c r="F55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74" i="19"/>
  <c r="F99" i="19"/>
  <c r="F100" i="19"/>
  <c r="F101" i="19"/>
  <c r="F102" i="19"/>
  <c r="F103" i="19"/>
  <c r="F104" i="19"/>
  <c r="F105" i="19"/>
  <c r="F106" i="19"/>
  <c r="F107" i="19"/>
  <c r="F108" i="19"/>
  <c r="F109" i="19"/>
  <c r="F98" i="19"/>
  <c r="F113" i="19"/>
  <c r="F114" i="19"/>
  <c r="F112" i="19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5" i="18"/>
  <c r="H56" i="18"/>
  <c r="H57" i="18"/>
  <c r="H58" i="18"/>
  <c r="H59" i="18"/>
  <c r="H60" i="18"/>
  <c r="H61" i="18"/>
  <c r="H62" i="18"/>
  <c r="H63" i="18"/>
  <c r="H64" i="18"/>
  <c r="H68" i="18"/>
  <c r="H69" i="18"/>
  <c r="H70" i="18"/>
  <c r="H71" i="18"/>
  <c r="H72" i="18"/>
  <c r="H73" i="18"/>
  <c r="H74" i="18"/>
  <c r="H75" i="18"/>
  <c r="H76" i="18"/>
  <c r="H67" i="18"/>
  <c r="H80" i="18"/>
  <c r="H81" i="18"/>
  <c r="H82" i="18"/>
  <c r="H83" i="18"/>
  <c r="H84" i="18"/>
  <c r="H85" i="18"/>
  <c r="H86" i="18"/>
  <c r="H87" i="18"/>
  <c r="H88" i="18"/>
  <c r="H79" i="18"/>
  <c r="H92" i="18"/>
  <c r="H93" i="18"/>
  <c r="H94" i="18"/>
  <c r="H95" i="18"/>
  <c r="H96" i="18"/>
  <c r="H97" i="18"/>
  <c r="H98" i="18"/>
  <c r="H99" i="18"/>
  <c r="H100" i="18"/>
  <c r="H101" i="18"/>
  <c r="H91" i="18"/>
  <c r="H54" i="18"/>
  <c r="H32" i="18"/>
  <c r="H4" i="18"/>
  <c r="H113" i="22"/>
  <c r="H114" i="22"/>
  <c r="H115" i="22"/>
  <c r="H116" i="22"/>
  <c r="H107" i="22"/>
  <c r="H108" i="22"/>
  <c r="H109" i="22"/>
  <c r="H94" i="22"/>
  <c r="H95" i="22"/>
  <c r="H96" i="22"/>
  <c r="H97" i="22"/>
  <c r="H98" i="22"/>
  <c r="H99" i="22"/>
  <c r="H100" i="22"/>
  <c r="H101" i="22"/>
  <c r="H102" i="22"/>
  <c r="H103" i="22"/>
  <c r="H81" i="22"/>
  <c r="H82" i="22"/>
  <c r="H83" i="22"/>
  <c r="H84" i="22"/>
  <c r="H85" i="22"/>
  <c r="H86" i="22"/>
  <c r="H87" i="22"/>
  <c r="H88" i="22"/>
  <c r="H89" i="22"/>
  <c r="H90" i="22"/>
  <c r="H68" i="22"/>
  <c r="H69" i="22"/>
  <c r="H70" i="22"/>
  <c r="H71" i="22"/>
  <c r="H72" i="22"/>
  <c r="H73" i="22"/>
  <c r="H74" i="22"/>
  <c r="H75" i="22"/>
  <c r="H76" i="22"/>
  <c r="H77" i="22"/>
  <c r="H55" i="22"/>
  <c r="H56" i="22"/>
  <c r="H57" i="22"/>
  <c r="H58" i="22"/>
  <c r="H59" i="22"/>
  <c r="H60" i="22"/>
  <c r="H61" i="22"/>
  <c r="H62" i="22"/>
  <c r="H63" i="22"/>
  <c r="H64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112" i="22"/>
  <c r="H106" i="22"/>
  <c r="H93" i="22"/>
  <c r="H80" i="22"/>
  <c r="H67" i="22"/>
  <c r="H54" i="22"/>
  <c r="H32" i="22"/>
  <c r="H4" i="22"/>
  <c r="H107" i="16"/>
  <c r="H108" i="16"/>
  <c r="H109" i="16"/>
  <c r="H110" i="16"/>
  <c r="H111" i="16"/>
  <c r="H112" i="16"/>
  <c r="H113" i="16"/>
  <c r="H114" i="16"/>
  <c r="H115" i="16"/>
  <c r="H116" i="16"/>
  <c r="H102" i="16"/>
  <c r="H103" i="16"/>
  <c r="H91" i="16"/>
  <c r="H92" i="16"/>
  <c r="H93" i="16"/>
  <c r="H94" i="16"/>
  <c r="H95" i="16"/>
  <c r="H96" i="16"/>
  <c r="H97" i="16"/>
  <c r="H98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55" i="16"/>
  <c r="H56" i="16"/>
  <c r="H57" i="16"/>
  <c r="H58" i="16"/>
  <c r="H59" i="16"/>
  <c r="H60" i="16"/>
  <c r="H61" i="16"/>
  <c r="H62" i="16"/>
  <c r="H63" i="16"/>
  <c r="H64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106" i="16"/>
  <c r="H101" i="16"/>
  <c r="H89" i="16"/>
  <c r="H67" i="16"/>
  <c r="H54" i="16"/>
  <c r="H32" i="16"/>
  <c r="H4" i="16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8" i="15"/>
  <c r="H69" i="15"/>
  <c r="H70" i="15"/>
  <c r="H71" i="15"/>
  <c r="H72" i="15"/>
  <c r="H73" i="15"/>
  <c r="H74" i="15"/>
  <c r="H75" i="15"/>
  <c r="H76" i="15"/>
  <c r="H77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7" i="15"/>
  <c r="H101" i="15"/>
  <c r="H102" i="15"/>
  <c r="H103" i="15"/>
  <c r="H104" i="15"/>
  <c r="H105" i="15"/>
  <c r="H106" i="15"/>
  <c r="H107" i="15"/>
  <c r="H108" i="15"/>
  <c r="H100" i="15"/>
  <c r="H96" i="15"/>
  <c r="H80" i="15"/>
  <c r="H67" i="15"/>
  <c r="H37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4" i="15"/>
</calcChain>
</file>

<file path=xl/sharedStrings.xml><?xml version="1.0" encoding="utf-8"?>
<sst xmlns="http://schemas.openxmlformats.org/spreadsheetml/2006/main" count="8996" uniqueCount="795">
  <si>
    <t>SBR</t>
  </si>
  <si>
    <t>NBR</t>
  </si>
  <si>
    <t>Cobra</t>
  </si>
  <si>
    <t>NB7010 2/0</t>
  </si>
  <si>
    <t>NB7010 1,5/0</t>
  </si>
  <si>
    <t>NB7011 1,5/1</t>
  </si>
  <si>
    <t>NB7011 2/1</t>
  </si>
  <si>
    <t>NB7010 3/0</t>
  </si>
  <si>
    <t>NB7011 3/1</t>
  </si>
  <si>
    <t>NB7010 4/0</t>
  </si>
  <si>
    <t>NB7011 4/1</t>
  </si>
  <si>
    <t>NB7010 5/0</t>
  </si>
  <si>
    <t>NB7011 5/1</t>
  </si>
  <si>
    <t>NB7010 6/0</t>
  </si>
  <si>
    <t>NB7010 8/0</t>
  </si>
  <si>
    <t>NB7010 10/0</t>
  </si>
  <si>
    <t>NB7010 12/0</t>
  </si>
  <si>
    <t>NB7010 15/0</t>
  </si>
  <si>
    <t>NB7010 20/0</t>
  </si>
  <si>
    <t>CR7010 1,5/0</t>
  </si>
  <si>
    <t>CR7011 1,5/1</t>
  </si>
  <si>
    <t>CR7010 2/0</t>
  </si>
  <si>
    <t>CR7011 2/1</t>
  </si>
  <si>
    <t>CR7010 3/0</t>
  </si>
  <si>
    <t>CR7011 3/1</t>
  </si>
  <si>
    <t>CR7010 4/0</t>
  </si>
  <si>
    <t>CR7011 4/1</t>
  </si>
  <si>
    <t>CR7010 5/0</t>
  </si>
  <si>
    <t>CR7011 5/1</t>
  </si>
  <si>
    <t>CR7010 6/0</t>
  </si>
  <si>
    <t>CR7010 8/0</t>
  </si>
  <si>
    <t>CR7010 10/0</t>
  </si>
  <si>
    <t>CR7010 12/0</t>
  </si>
  <si>
    <t>CR7010 15/0</t>
  </si>
  <si>
    <t>CR7010 20/0</t>
  </si>
  <si>
    <t>EP7010 1,5/0</t>
  </si>
  <si>
    <t>EP7010 2/0</t>
  </si>
  <si>
    <t>EP7011 2/1</t>
  </si>
  <si>
    <t>EP7010 3/0</t>
  </si>
  <si>
    <t>EP7011 3/1</t>
  </si>
  <si>
    <t>EP7010 4/0</t>
  </si>
  <si>
    <t>EP7011 4/1</t>
  </si>
  <si>
    <t>EP7010 5/0</t>
  </si>
  <si>
    <t>EP7011 5/1</t>
  </si>
  <si>
    <t>EP7010 6/0</t>
  </si>
  <si>
    <t>EP7010 8/0</t>
  </si>
  <si>
    <t>EP7010 10/0</t>
  </si>
  <si>
    <t>EP7010 12/0</t>
  </si>
  <si>
    <t>EP7010 15/0</t>
  </si>
  <si>
    <t>EP7010 20/0</t>
  </si>
  <si>
    <t>EP65120 1/0</t>
  </si>
  <si>
    <t>EP65120 2/0</t>
  </si>
  <si>
    <t>EP65120 3/0</t>
  </si>
  <si>
    <t>EP65120 4/0</t>
  </si>
  <si>
    <t>EP65120 5/0</t>
  </si>
  <si>
    <t>EP65120 6/0</t>
  </si>
  <si>
    <t>EP65120 8/0</t>
  </si>
  <si>
    <t>EP65120 10/0</t>
  </si>
  <si>
    <t>NE65140 1/0</t>
  </si>
  <si>
    <t>NE70140 1/0</t>
  </si>
  <si>
    <t>NE70140 2/0</t>
  </si>
  <si>
    <t>NE70140 3/0</t>
  </si>
  <si>
    <t>NE70140 4/0</t>
  </si>
  <si>
    <t>NE70140 5/0</t>
  </si>
  <si>
    <t>NE70140 6/0</t>
  </si>
  <si>
    <t>NE70140 8/0</t>
  </si>
  <si>
    <t>NE70140 10/0</t>
  </si>
  <si>
    <t>NoVibraMat</t>
  </si>
  <si>
    <t>SX70150 1,5/0</t>
  </si>
  <si>
    <t>SX70150 2/0</t>
  </si>
  <si>
    <t>SX70150 3/0</t>
  </si>
  <si>
    <t>SX70151 3/1</t>
  </si>
  <si>
    <t>SX70152 3/2</t>
  </si>
  <si>
    <t>SX70151 4/1</t>
  </si>
  <si>
    <t>SX70152 4/2</t>
  </si>
  <si>
    <t>SX70150 4/0</t>
  </si>
  <si>
    <t>SX70150 5/0</t>
  </si>
  <si>
    <t>SX70151 5/1</t>
  </si>
  <si>
    <t>SX70152 5/2</t>
  </si>
  <si>
    <t>SX70150 6/0</t>
  </si>
  <si>
    <t>SX70151 6/1</t>
  </si>
  <si>
    <t>SX70152 6/2</t>
  </si>
  <si>
    <t>SX70150 8/0</t>
  </si>
  <si>
    <t>SX70152 8/2</t>
  </si>
  <si>
    <t>SX70150 10/0</t>
  </si>
  <si>
    <t>SX70152 10/2</t>
  </si>
  <si>
    <t>SX70150 12/0</t>
  </si>
  <si>
    <t>SX70150 15/0</t>
  </si>
  <si>
    <t>SX70150 15/0-1x1</t>
  </si>
  <si>
    <t>SX70150 20/0</t>
  </si>
  <si>
    <t>SX70150 20/0-1x1</t>
  </si>
  <si>
    <t>SX70150 25/0-1x1</t>
  </si>
  <si>
    <t>SX70150 30/0-1x1</t>
  </si>
  <si>
    <t>SX70150 40/0-1x1</t>
  </si>
  <si>
    <t>SX70150 50/0-1x1</t>
  </si>
  <si>
    <t>CR5010 2/0</t>
  </si>
  <si>
    <t>CR5010 3/0</t>
  </si>
  <si>
    <t>CR5010 4/0</t>
  </si>
  <si>
    <t>CR5010 5/0</t>
  </si>
  <si>
    <t>CR5010 6/0</t>
  </si>
  <si>
    <t>CR5010 8/0</t>
  </si>
  <si>
    <t>CR5010 10/0</t>
  </si>
  <si>
    <t>EP5010 2/0</t>
  </si>
  <si>
    <t>EP5010 3/0</t>
  </si>
  <si>
    <t>EP5010 4/0</t>
  </si>
  <si>
    <t>EP5010 5/0</t>
  </si>
  <si>
    <t>EP5010 6/0</t>
  </si>
  <si>
    <t>EP5010 8/0</t>
  </si>
  <si>
    <t>EP5010 10/0</t>
  </si>
  <si>
    <t>NB65130 1/0</t>
  </si>
  <si>
    <t>NB65130 2/0</t>
  </si>
  <si>
    <t>NB65130 3/0</t>
  </si>
  <si>
    <t>NB65130 4/0</t>
  </si>
  <si>
    <t>NB65130 5/0</t>
  </si>
  <si>
    <t>NB65130 6/0</t>
  </si>
  <si>
    <t>NB65130 8/0</t>
  </si>
  <si>
    <t>NB65130 10/0</t>
  </si>
  <si>
    <t>NB70140 1/0</t>
  </si>
  <si>
    <t>NB70140 1,5/0</t>
  </si>
  <si>
    <t>NB70140 2/0</t>
  </si>
  <si>
    <t>NB70141 2/1</t>
  </si>
  <si>
    <t>NB70140 3/0</t>
  </si>
  <si>
    <t>NB70141 3/1</t>
  </si>
  <si>
    <t>NB70142 3/2</t>
  </si>
  <si>
    <t>NB70140 4/0</t>
  </si>
  <si>
    <t>NB70142 4/2</t>
  </si>
  <si>
    <t>NB70140 5/0</t>
  </si>
  <si>
    <t>NB70142 5/2</t>
  </si>
  <si>
    <t>NB70140 6/0</t>
  </si>
  <si>
    <t>NB70140 8/0</t>
  </si>
  <si>
    <t>NB70140 10/0</t>
  </si>
  <si>
    <t>NE65140 8/0</t>
  </si>
  <si>
    <t>NE65140 10/0</t>
  </si>
  <si>
    <t>CR7010 1/0</t>
  </si>
  <si>
    <t>EP7010 1/0</t>
  </si>
  <si>
    <t>NB7010 1/0</t>
  </si>
  <si>
    <t>AB45110B 1/0</t>
  </si>
  <si>
    <t>AB45110B 1,5/0</t>
  </si>
  <si>
    <t>AB45110B 2/0</t>
  </si>
  <si>
    <t>AB45110B 3/0</t>
  </si>
  <si>
    <t>AB45110B 4/0</t>
  </si>
  <si>
    <t>AB45110B 5/0</t>
  </si>
  <si>
    <t>AB45110B 6/0</t>
  </si>
  <si>
    <t>AB45110B 8/0</t>
  </si>
  <si>
    <t>AB45110B 10/0</t>
  </si>
  <si>
    <t>AB45110B 12/0</t>
  </si>
  <si>
    <t>AB45110B 15/0</t>
  </si>
  <si>
    <t>AB45110B 20/0</t>
  </si>
  <si>
    <t>AB45110G 2/0</t>
  </si>
  <si>
    <t>AB45110G 3/0</t>
  </si>
  <si>
    <t>AB45110G 4/0</t>
  </si>
  <si>
    <t>AB45110G 5/0</t>
  </si>
  <si>
    <t>AB45110G 6/0</t>
  </si>
  <si>
    <t>AB45110G 10/0</t>
  </si>
  <si>
    <t>AB45110R 1/0</t>
  </si>
  <si>
    <t>AB45110R 1,5/0</t>
  </si>
  <si>
    <t>AB45110R 2/0</t>
  </si>
  <si>
    <t>AB45110R 3/0</t>
  </si>
  <si>
    <t>AB45110R 4/0</t>
  </si>
  <si>
    <t>AB45110R 5/0</t>
  </si>
  <si>
    <t>AB45110R 6/0</t>
  </si>
  <si>
    <t>AB45110R 8/0</t>
  </si>
  <si>
    <t>AB45110R 10/0</t>
  </si>
  <si>
    <t>AB45110R 15/0</t>
  </si>
  <si>
    <t>AB45110R 20/0</t>
  </si>
  <si>
    <t>SX70150 10/0-1x1</t>
  </si>
  <si>
    <t>SX70150 1/0</t>
  </si>
  <si>
    <t>CR7010 25/0</t>
  </si>
  <si>
    <t>-</t>
  </si>
  <si>
    <t>Athena Broad Rib</t>
  </si>
  <si>
    <t>Hektor Truck Rib</t>
  </si>
  <si>
    <t>Insertion(s)</t>
  </si>
  <si>
    <t>cotton</t>
  </si>
  <si>
    <t>SX70151 1,5/1</t>
  </si>
  <si>
    <t>SX70151 2/1</t>
  </si>
  <si>
    <t>SX70150 25/0</t>
  </si>
  <si>
    <t>SX70150 30/0</t>
  </si>
  <si>
    <t>NB65130 1,5/0</t>
  </si>
  <si>
    <t>nylon</t>
  </si>
  <si>
    <t xml:space="preserve"> Gross sales price per SQM in EUR</t>
  </si>
  <si>
    <t>Seltos Diamond Checker</t>
  </si>
  <si>
    <t>Amoeba Mat</t>
  </si>
  <si>
    <t>AB45110G 1,5/0</t>
  </si>
  <si>
    <t>EP7011 1,5/1</t>
  </si>
  <si>
    <t>CR7010 30/0</t>
  </si>
  <si>
    <t>CR7010 40/0</t>
  </si>
  <si>
    <t>CR7010 50/0</t>
  </si>
  <si>
    <t>EP7010 30/0</t>
  </si>
  <si>
    <t>EP7010 40/0</t>
  </si>
  <si>
    <t>EP7010 50/0</t>
  </si>
  <si>
    <t>NB7010 30/0</t>
  </si>
  <si>
    <t>NB7010 40/0</t>
  </si>
  <si>
    <t>NB7010 50/0</t>
  </si>
  <si>
    <t>EP70110W 2/0</t>
  </si>
  <si>
    <t>EP70110W 3/0</t>
  </si>
  <si>
    <t>EP70110W 4/0</t>
  </si>
  <si>
    <t>EP70110W 5/0</t>
  </si>
  <si>
    <t>EP70122PC 1/0</t>
  </si>
  <si>
    <t>AB45110R 12/0</t>
  </si>
  <si>
    <t>Nett price per SQM in EUR</t>
  </si>
  <si>
    <t>Customer name:</t>
  </si>
  <si>
    <t>Customer code:</t>
  </si>
  <si>
    <t>Article</t>
  </si>
  <si>
    <t>Black Miami</t>
  </si>
  <si>
    <t>Zen Star</t>
  </si>
  <si>
    <t>Black Miami 50</t>
  </si>
  <si>
    <t>Satyr Eco</t>
  </si>
  <si>
    <t>Satyr Medium</t>
  </si>
  <si>
    <t>Satyr Premium</t>
  </si>
  <si>
    <t>Satyr 50</t>
  </si>
  <si>
    <t>EPDM</t>
  </si>
  <si>
    <t>Manticore Eco</t>
  </si>
  <si>
    <t>Manticore Medium</t>
  </si>
  <si>
    <t>Manticore Premium</t>
  </si>
  <si>
    <t>Manticore 50</t>
  </si>
  <si>
    <t>CR</t>
  </si>
  <si>
    <t>Wendigo Eco</t>
  </si>
  <si>
    <t>Wendigo Medium</t>
  </si>
  <si>
    <t>Wendigo Premium</t>
  </si>
  <si>
    <t>Wendigo 50</t>
  </si>
  <si>
    <t>Typhon Beige</t>
  </si>
  <si>
    <t>Typhon Grey</t>
  </si>
  <si>
    <t xml:space="preserve">Red Dragoon </t>
  </si>
  <si>
    <t>Typhon Dustsealing</t>
  </si>
  <si>
    <t>Pegasus SBR</t>
  </si>
  <si>
    <t>Pegasus NBR</t>
  </si>
  <si>
    <t>Pegasus EPDM</t>
  </si>
  <si>
    <t>Pegasus CR</t>
  </si>
  <si>
    <t>Various</t>
  </si>
  <si>
    <t>Karibu FKM A</t>
  </si>
  <si>
    <t>Kabira Neobenzid</t>
  </si>
  <si>
    <t>Rama</t>
  </si>
  <si>
    <t>Serra 60</t>
  </si>
  <si>
    <t>Viking Translucent</t>
  </si>
  <si>
    <t>Viking Red</t>
  </si>
  <si>
    <t>Viking Blue</t>
  </si>
  <si>
    <t>Viking White</t>
  </si>
  <si>
    <t>Viking Translucent 40</t>
  </si>
  <si>
    <t>Matting</t>
  </si>
  <si>
    <t>Saturn fine rib</t>
  </si>
  <si>
    <t>Saturn Basic fine rib</t>
  </si>
  <si>
    <t>Saturn Basic fine rib NBR</t>
  </si>
  <si>
    <t>Saturn Eco mini fine rib</t>
  </si>
  <si>
    <t>Freya block rib</t>
  </si>
  <si>
    <t>Hurricane wide rib</t>
  </si>
  <si>
    <t>Hurricane Eco wide rib</t>
  </si>
  <si>
    <t>Vidar coin mat</t>
  </si>
  <si>
    <t>Zenith diamond mat</t>
  </si>
  <si>
    <t>Sphynx pyramid mat</t>
  </si>
  <si>
    <t>Odin checker mat</t>
  </si>
  <si>
    <t>Odin checker mat NBR</t>
  </si>
  <si>
    <t>Odin Eco checker mat</t>
  </si>
  <si>
    <t>FKM</t>
  </si>
  <si>
    <t>Manticore Aqua</t>
  </si>
  <si>
    <t>Manticore Peroxid</t>
  </si>
  <si>
    <t>Centaur Red</t>
  </si>
  <si>
    <t>Centaur Black 40</t>
  </si>
  <si>
    <t>Centaur Black 60</t>
  </si>
  <si>
    <t>Article Group</t>
  </si>
  <si>
    <t>A1</t>
  </si>
  <si>
    <t>A2</t>
  </si>
  <si>
    <t>A3</t>
  </si>
  <si>
    <t>B1</t>
  </si>
  <si>
    <t>B2</t>
  </si>
  <si>
    <t>B3</t>
  </si>
  <si>
    <t>B4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</si>
  <si>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</si>
  <si>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</si>
  <si>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</si>
  <si>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</si>
  <si>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</si>
  <si>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</si>
  <si>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</si>
  <si>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</si>
  <si>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</si>
  <si>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</si>
  <si>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E1</t>
  </si>
  <si>
    <t>E2</t>
  </si>
  <si>
    <t>E5</t>
  </si>
  <si>
    <t>E8</t>
  </si>
  <si>
    <t>E9</t>
  </si>
  <si>
    <t>E18</t>
  </si>
  <si>
    <t>F1</t>
  </si>
  <si>
    <t>F2</t>
  </si>
  <si>
    <t>F3</t>
  </si>
  <si>
    <t>F4</t>
  </si>
  <si>
    <t>F5</t>
  </si>
  <si>
    <t>G</t>
  </si>
  <si>
    <t>H1</t>
  </si>
  <si>
    <t>H3</t>
  </si>
  <si>
    <t>H2</t>
  </si>
  <si>
    <t>I1</t>
  </si>
  <si>
    <t>I2</t>
  </si>
  <si>
    <t>I3</t>
  </si>
  <si>
    <t>I4</t>
  </si>
  <si>
    <t>I17</t>
  </si>
  <si>
    <t>I5</t>
  </si>
  <si>
    <t>I6</t>
  </si>
  <si>
    <t>I7</t>
  </si>
  <si>
    <t>I8</t>
  </si>
  <si>
    <t>I9</t>
  </si>
  <si>
    <t>I10</t>
  </si>
  <si>
    <t>I11</t>
  </si>
  <si>
    <t>I12</t>
  </si>
  <si>
    <t>I18</t>
  </si>
  <si>
    <t>I13</t>
  </si>
  <si>
    <t>I14</t>
  </si>
  <si>
    <t>I15</t>
  </si>
  <si>
    <t>I16</t>
  </si>
  <si>
    <t>Discount   %</t>
  </si>
  <si>
    <t>NB7010 25/0</t>
  </si>
  <si>
    <t>Length (mtr)</t>
  </si>
  <si>
    <t>Vidar Eco coin mat</t>
  </si>
  <si>
    <t>I19</t>
  </si>
  <si>
    <t>I20</t>
  </si>
  <si>
    <t>I21</t>
  </si>
  <si>
    <t>AB45110R 25/0</t>
  </si>
  <si>
    <t>EP7010 25/0</t>
  </si>
  <si>
    <t>CR5010 1/0</t>
  </si>
  <si>
    <t>EP5010 1/0</t>
  </si>
  <si>
    <t>Thickness (mm)</t>
  </si>
  <si>
    <t>Width (mtr)</t>
  </si>
  <si>
    <t>Article nr.</t>
  </si>
  <si>
    <t>Datasheet</t>
  </si>
  <si>
    <t>NR/SBR Rubber sheets</t>
  </si>
  <si>
    <t>Insertion type</t>
  </si>
  <si>
    <t>Black Miami with insertion(s)</t>
  </si>
  <si>
    <t>SX70150 20/0-1,5x1</t>
  </si>
  <si>
    <t>SX70150 25/0-1,5x1</t>
  </si>
  <si>
    <t>SX70150 30/0-1,5x1</t>
  </si>
  <si>
    <t>SX70150 40/0-1,5x1</t>
  </si>
  <si>
    <t>Black Miami flat sheets</t>
  </si>
  <si>
    <t>SB65130 1/0</t>
  </si>
  <si>
    <t>SB65130 1,5/0</t>
  </si>
  <si>
    <t>SB65130 2/0</t>
  </si>
  <si>
    <t>SB65130 3/0</t>
  </si>
  <si>
    <t>SB65130 4/0</t>
  </si>
  <si>
    <t>SB65130 5/0</t>
  </si>
  <si>
    <t>SB65130 6/0</t>
  </si>
  <si>
    <t>SB65130 8/0</t>
  </si>
  <si>
    <t>SB65130 10/0</t>
  </si>
  <si>
    <t>SB65130 12/0</t>
  </si>
  <si>
    <t>SB65130 15/0</t>
  </si>
  <si>
    <t>Zenstar</t>
  </si>
  <si>
    <t>EP</t>
  </si>
  <si>
    <t>SB65131 4/1EP</t>
  </si>
  <si>
    <t>SB65132 6/2EP</t>
  </si>
  <si>
    <t>SX50150 2/0</t>
  </si>
  <si>
    <t>SX50150 3/0</t>
  </si>
  <si>
    <t>SX50150 4/0</t>
  </si>
  <si>
    <t>SX50150 5/0</t>
  </si>
  <si>
    <t>SX50150 6/0</t>
  </si>
  <si>
    <t>SX50150 8/0</t>
  </si>
  <si>
    <t>SX50150 10/0</t>
  </si>
  <si>
    <t>SX50150 15/0</t>
  </si>
  <si>
    <t>SX50150 20/0</t>
  </si>
  <si>
    <t>NBR Rubber sheets</t>
  </si>
  <si>
    <t>NB7011 8/2</t>
  </si>
  <si>
    <t>Satyr Eco with insertion(s)</t>
  </si>
  <si>
    <t>Satyr Eco flat sheets</t>
  </si>
  <si>
    <t>NB7010 10/0-1x1</t>
  </si>
  <si>
    <t>NB7010 15/0-1x1</t>
  </si>
  <si>
    <t>NB7010 20/0-1x1</t>
  </si>
  <si>
    <t>NB7010 10/0-1,5x1</t>
  </si>
  <si>
    <t>NB7010 25/0-1x1</t>
  </si>
  <si>
    <t>NB7010 25/0-1,5x1</t>
  </si>
  <si>
    <t>NB7010 30/0-1,5x1</t>
  </si>
  <si>
    <t>NB80130 2/0</t>
  </si>
  <si>
    <t>NB80130 3/0</t>
  </si>
  <si>
    <t>NB80130 4/0</t>
  </si>
  <si>
    <t>Satyr Premium 80</t>
  </si>
  <si>
    <t>Manticore Eco flat sheets</t>
  </si>
  <si>
    <t>Manticore Eco with insertion(s)</t>
  </si>
  <si>
    <t>EPDM Rubber sheets</t>
  </si>
  <si>
    <t>EP7010 10/0-1x1</t>
  </si>
  <si>
    <t>EP7010 15/0-1x1</t>
  </si>
  <si>
    <t>EP7010 20/0-1x1</t>
  </si>
  <si>
    <t>EP7010 10/0-1,5x1</t>
  </si>
  <si>
    <t>EP7010 25/0-1x1</t>
  </si>
  <si>
    <t>EP7010 25/0-1,5x1</t>
  </si>
  <si>
    <t>EP7010 30/0-1,5x1</t>
  </si>
  <si>
    <t>EP65135 1/0</t>
  </si>
  <si>
    <t>EP65135 1,5/0</t>
  </si>
  <si>
    <t>EP65135 2/0</t>
  </si>
  <si>
    <t>EP65135 3/0</t>
  </si>
  <si>
    <t>EP65135 4/0</t>
  </si>
  <si>
    <t>EP65135 5/0</t>
  </si>
  <si>
    <t>EP65135 6/0</t>
  </si>
  <si>
    <t>EP65135 8/0</t>
  </si>
  <si>
    <t>EP65135 10/0</t>
  </si>
  <si>
    <t>EP65120 0,5/0</t>
  </si>
  <si>
    <t>Manticore Eco 50</t>
  </si>
  <si>
    <t>EP5010 2,5/0</t>
  </si>
  <si>
    <t>EP5010 12/0</t>
  </si>
  <si>
    <t>EP5010 20/0</t>
  </si>
  <si>
    <t>EP70122PC 2/0</t>
  </si>
  <si>
    <t>CR7010 10/0-1x1</t>
  </si>
  <si>
    <t>CR7010 15/0-1x1</t>
  </si>
  <si>
    <t>CR7010 20/0-1x1</t>
  </si>
  <si>
    <t>CR7010 10/0-1,5x1</t>
  </si>
  <si>
    <t>CR7010 25/0-1x1</t>
  </si>
  <si>
    <t>CR7010 25/0-1,5x1</t>
  </si>
  <si>
    <t>CR7010 30/0-1,5x1</t>
  </si>
  <si>
    <t>CR Rubber sheets</t>
  </si>
  <si>
    <t>Wendigo Eco with insertion(s)</t>
  </si>
  <si>
    <t>Wendigo Eco flat sheets</t>
  </si>
  <si>
    <t>NE70140 1,5/0</t>
  </si>
  <si>
    <t>NE70140 10/0</t>
  </si>
  <si>
    <t>NE65140 2/0</t>
  </si>
  <si>
    <t>NE65140 3/0</t>
  </si>
  <si>
    <t>NE65140 4/0</t>
  </si>
  <si>
    <t>NE65140 5/0</t>
  </si>
  <si>
    <t>NE65140 6/0</t>
  </si>
  <si>
    <t>CR5010 2,5/0</t>
  </si>
  <si>
    <t>CR5010 12/0</t>
  </si>
  <si>
    <t>CR5010 20/0</t>
  </si>
  <si>
    <t>Para</t>
  </si>
  <si>
    <t>Food Grade &amp; VMQ</t>
  </si>
  <si>
    <t>Para rubber sheets</t>
  </si>
  <si>
    <t>AB40110 4/0</t>
  </si>
  <si>
    <t>AB40110 6/0</t>
  </si>
  <si>
    <t>AB40110 8/0</t>
  </si>
  <si>
    <t>AB40110 10/0</t>
  </si>
  <si>
    <t>AB40110 15/0</t>
  </si>
  <si>
    <t>AB40110 20/0</t>
  </si>
  <si>
    <t>AB60117 3/0</t>
  </si>
  <si>
    <t>AB60117 4/0</t>
  </si>
  <si>
    <t>AB60117 5/0</t>
  </si>
  <si>
    <t>AB60117 6/0</t>
  </si>
  <si>
    <t>AB60117 8/0</t>
  </si>
  <si>
    <t>AB60117 10/0</t>
  </si>
  <si>
    <t>AB60117 12/0</t>
  </si>
  <si>
    <t>AB60117 15/0</t>
  </si>
  <si>
    <t>AB60117 20/0</t>
  </si>
  <si>
    <t>AB60117 25/0</t>
  </si>
  <si>
    <t>AB60117 30/0</t>
  </si>
  <si>
    <t>AB60117 40/0</t>
  </si>
  <si>
    <t>AB60117 50/0</t>
  </si>
  <si>
    <t>Centaur Black</t>
  </si>
  <si>
    <t>Abrasuper40 2/0</t>
  </si>
  <si>
    <t>Abrasuper40 3/0</t>
  </si>
  <si>
    <t>Abrasuper40 4/0</t>
  </si>
  <si>
    <t>Abrasuper40 5/0</t>
  </si>
  <si>
    <t>Abrasuper40 6/0</t>
  </si>
  <si>
    <t>Abrasuper40 8/0</t>
  </si>
  <si>
    <t>Abrasuper40 10/0</t>
  </si>
  <si>
    <t>Red Dragoon</t>
  </si>
  <si>
    <t>Abrasuper40 1,5/0</t>
  </si>
  <si>
    <t>Abrasuper40 8/0</t>
  </si>
  <si>
    <t>Abrasuper40 10/0</t>
  </si>
  <si>
    <t>Abrasuper40 15/0</t>
  </si>
  <si>
    <t>Abrasuper40 20/0</t>
  </si>
  <si>
    <t>AB40100SP 1,5/0</t>
  </si>
  <si>
    <t>AB40100SP 2/0</t>
  </si>
  <si>
    <t>AB40100SP 3/0</t>
  </si>
  <si>
    <t>SB60150F 1/0</t>
  </si>
  <si>
    <t>SB60150F 2/0</t>
  </si>
  <si>
    <t>SB60150F 3/0</t>
  </si>
  <si>
    <t>SB60150F 4/0</t>
  </si>
  <si>
    <t>SB60150F 5/0</t>
  </si>
  <si>
    <t>SB60150F 6/0</t>
  </si>
  <si>
    <t>SB60150F 8/0</t>
  </si>
  <si>
    <t>SB60150F 10/0</t>
  </si>
  <si>
    <t>SB60150F 15/0</t>
  </si>
  <si>
    <t>NB60140F 1/0</t>
  </si>
  <si>
    <t>NB60140F 2/0</t>
  </si>
  <si>
    <t>NB60140F 3/0</t>
  </si>
  <si>
    <t>NB60140F 4/0</t>
  </si>
  <si>
    <t>NB60140F 5/0</t>
  </si>
  <si>
    <t>NB60140F 6/0</t>
  </si>
  <si>
    <t>NB60140F 8/0</t>
  </si>
  <si>
    <t>NB60140F 10/0</t>
  </si>
  <si>
    <t>EP60130F 1/0</t>
  </si>
  <si>
    <t>EP60130F 1,5/0</t>
  </si>
  <si>
    <t>EP60130F 2/0</t>
  </si>
  <si>
    <t>EP60130F 3/0</t>
  </si>
  <si>
    <t>EP60130F 4/0</t>
  </si>
  <si>
    <t>EP60130F 5/0</t>
  </si>
  <si>
    <t>EP60130F 6/0</t>
  </si>
  <si>
    <t>EP60130F 8/0</t>
  </si>
  <si>
    <t>EP60130F 10/0</t>
  </si>
  <si>
    <t>NE65145F 1/0</t>
  </si>
  <si>
    <t>NE65145F 2/0</t>
  </si>
  <si>
    <t>NE65145F 3/0</t>
  </si>
  <si>
    <t>NE65145F 4/0</t>
  </si>
  <si>
    <t>NE65145F 5/0</t>
  </si>
  <si>
    <t>SI60120TP 1/0</t>
  </si>
  <si>
    <t>SI60120TP 1,5/0</t>
  </si>
  <si>
    <t>SI60120TP 2/0</t>
  </si>
  <si>
    <t>SI60120TP 3/0</t>
  </si>
  <si>
    <t>SI60120TP 4/0</t>
  </si>
  <si>
    <t>SI60120TP 5/0</t>
  </si>
  <si>
    <t>SI60120TP 6/0</t>
  </si>
  <si>
    <t>SI60120TP 8/0</t>
  </si>
  <si>
    <t>SI60120TP 10/0</t>
  </si>
  <si>
    <t>SI60120TP 12/0</t>
  </si>
  <si>
    <t>SI60120BL 1/0</t>
  </si>
  <si>
    <t>SI60120BL 1,5/0</t>
  </si>
  <si>
    <t>SI60120BL 2/0</t>
  </si>
  <si>
    <t>SI60120BL 3/0</t>
  </si>
  <si>
    <t>SI60120BL 4/0</t>
  </si>
  <si>
    <t>SI60120BL 5/0</t>
  </si>
  <si>
    <t>SI60120BL 6/0</t>
  </si>
  <si>
    <t>SI60120BL 8/0</t>
  </si>
  <si>
    <t>SI60120BL 10/0</t>
  </si>
  <si>
    <t>SI60120BR 1/0</t>
  </si>
  <si>
    <t>SI60120BR 1,5/0</t>
  </si>
  <si>
    <t>SI60120BR 2/0</t>
  </si>
  <si>
    <t>SI60120BR 3/0</t>
  </si>
  <si>
    <t>SI60120BR 4/0</t>
  </si>
  <si>
    <t>SI60120BR 5/0</t>
  </si>
  <si>
    <t>SI60120BR 6/0</t>
  </si>
  <si>
    <t>SI60120BR 8/0</t>
  </si>
  <si>
    <t>SI60120BR 10/0</t>
  </si>
  <si>
    <t>SI60120BR 12/0</t>
  </si>
  <si>
    <t>Viking Brick Red</t>
  </si>
  <si>
    <t>Food Grade &amp; VMQ Silicone rubber sheets</t>
  </si>
  <si>
    <t>SI60120W 2/0</t>
  </si>
  <si>
    <t>SI60120W 3/0</t>
  </si>
  <si>
    <t>SI60120W 5/0</t>
  </si>
  <si>
    <t>SI60120W 10/0</t>
  </si>
  <si>
    <t>SI40120TP 1/0</t>
  </si>
  <si>
    <t>SI40120TP 1,5/0</t>
  </si>
  <si>
    <t>SI40120TP 2/0</t>
  </si>
  <si>
    <t>SI40120TP 3/0</t>
  </si>
  <si>
    <t>SI40120TP 4/0</t>
  </si>
  <si>
    <t>SI40120TP 5/0</t>
  </si>
  <si>
    <t>SI40120TP 6/0</t>
  </si>
  <si>
    <t>SI40120TP 8/0</t>
  </si>
  <si>
    <t>SI40120TP 10/0</t>
  </si>
  <si>
    <t>Fluoro elastomer rubber sheets</t>
  </si>
  <si>
    <t>Karibu FKM</t>
  </si>
  <si>
    <t>FPG72190G 0,5/0</t>
  </si>
  <si>
    <t>FPG72190G 1/0</t>
  </si>
  <si>
    <t>FPG72190G 1,5/0</t>
  </si>
  <si>
    <t>FPG72190G 2/0</t>
  </si>
  <si>
    <t>FPG72190G 3/0</t>
  </si>
  <si>
    <t>FPG72190G 4/0</t>
  </si>
  <si>
    <t>FPG72190G 5/0</t>
  </si>
  <si>
    <t>FPG72190G 6/0</t>
  </si>
  <si>
    <t>FPG72190G 8/0</t>
  </si>
  <si>
    <t>FPG72190G 10/0</t>
  </si>
  <si>
    <t>FPG72190G 12/0</t>
  </si>
  <si>
    <t>Various rubber sheets</t>
  </si>
  <si>
    <t>NB65145G 2/0</t>
  </si>
  <si>
    <t>NB65145G 3/0</t>
  </si>
  <si>
    <t>NB65145G 4/0</t>
  </si>
  <si>
    <t>NB65145G 5/0</t>
  </si>
  <si>
    <t>NB65145G 6/0</t>
  </si>
  <si>
    <t>NB65145G 10/0</t>
  </si>
  <si>
    <t>Serra CSM</t>
  </si>
  <si>
    <t>HN65140 2/0</t>
  </si>
  <si>
    <t>HN65140 3/0</t>
  </si>
  <si>
    <t>HN65140 4/0</t>
  </si>
  <si>
    <t>HN65140 5/0</t>
  </si>
  <si>
    <t>HN65140 6/0</t>
  </si>
  <si>
    <t>Rama Butyl</t>
  </si>
  <si>
    <t>IR60120 2/0</t>
  </si>
  <si>
    <t>IR60120 3/0</t>
  </si>
  <si>
    <t>IR60120 4/0</t>
  </si>
  <si>
    <t>IR60120 5/0</t>
  </si>
  <si>
    <t>Rubber matting</t>
  </si>
  <si>
    <t>SX70150C 3/0</t>
  </si>
  <si>
    <t>SX70150C 4/2</t>
  </si>
  <si>
    <t>SX70150C 5/0</t>
  </si>
  <si>
    <t>SX70150C 6/2</t>
  </si>
  <si>
    <t>SX70150C 8/1</t>
  </si>
  <si>
    <t>Class</t>
  </si>
  <si>
    <t>Colour</t>
  </si>
  <si>
    <t>Proof Test Voltage</t>
  </si>
  <si>
    <t>Resistance</t>
  </si>
  <si>
    <t>Maximum use voltage</t>
  </si>
  <si>
    <t>Grey</t>
  </si>
  <si>
    <t>20 kV</t>
  </si>
  <si>
    <t>30 kV</t>
  </si>
  <si>
    <t>17 kV</t>
  </si>
  <si>
    <t>ELS30000G 3/0</t>
  </si>
  <si>
    <t>Black</t>
  </si>
  <si>
    <t>40 kV</t>
  </si>
  <si>
    <t>50 kV</t>
  </si>
  <si>
    <t>36 kV</t>
  </si>
  <si>
    <t>ELS50000G 4,5/0</t>
  </si>
  <si>
    <t>Feniks Insulation Fine Rib Mat</t>
  </si>
  <si>
    <t>Feniks Isocarpet</t>
  </si>
  <si>
    <t>ELS1000V 1,6/0</t>
  </si>
  <si>
    <t>Orange</t>
  </si>
  <si>
    <t>5 kV</t>
  </si>
  <si>
    <t>10 kV</t>
  </si>
  <si>
    <t>1 kV</t>
  </si>
  <si>
    <t>Feniks Insulation Checker Mat</t>
  </si>
  <si>
    <t>CD65ELSG 3/0</t>
  </si>
  <si>
    <t>Saturn Fine Rib</t>
  </si>
  <si>
    <t>MR65 3/0</t>
  </si>
  <si>
    <t>MR65 3/1</t>
  </si>
  <si>
    <t>MR65 4/0</t>
  </si>
  <si>
    <t>Saturn Fine Rib Grey</t>
  </si>
  <si>
    <t>MR65G 3/0</t>
  </si>
  <si>
    <t>Photo</t>
  </si>
  <si>
    <t>MR65NBR 3/0</t>
  </si>
  <si>
    <t>Saturn Fine Rib NBR</t>
  </si>
  <si>
    <t>MR65SX 2,7/0-0,2</t>
  </si>
  <si>
    <t>MR65SX 2,7/0-0,3</t>
  </si>
  <si>
    <t>MR65SX 2,7/0-0,4</t>
  </si>
  <si>
    <t>MR65SX 2,7/0-0,5</t>
  </si>
  <si>
    <t>MR65SX 2,7/0-0,6</t>
  </si>
  <si>
    <t>MR65SX 2,7/0-0,7</t>
  </si>
  <si>
    <t>MR65SX 2,7/0-0,8</t>
  </si>
  <si>
    <t>MR65SX 2,7/0-0,9</t>
  </si>
  <si>
    <t>MR65SX 2,7/0</t>
  </si>
  <si>
    <t>Saturn Basic Fine Rib</t>
  </si>
  <si>
    <t>Saturn Eco Fine Rib</t>
  </si>
  <si>
    <t>MN65 2,5/0</t>
  </si>
  <si>
    <t>CR65 3/0</t>
  </si>
  <si>
    <t>Freya Block Rib</t>
  </si>
  <si>
    <t>LS65 3/0</t>
  </si>
  <si>
    <t>BR65 5/0</t>
  </si>
  <si>
    <t>BR65 6/0</t>
  </si>
  <si>
    <t>Hurricane Wide Rib</t>
  </si>
  <si>
    <t>Hurricane Eco Wide Rib</t>
  </si>
  <si>
    <t>BR65SX 5/0</t>
  </si>
  <si>
    <t>BR65SX 6/0</t>
  </si>
  <si>
    <t>Hector Truck Rib</t>
  </si>
  <si>
    <t>TL65 4,5/0</t>
  </si>
  <si>
    <t>TL65 6/0</t>
  </si>
  <si>
    <t>TL65 6/2</t>
  </si>
  <si>
    <t>CS80 3/0</t>
  </si>
  <si>
    <t>CS80 4/0</t>
  </si>
  <si>
    <t>CS80 4,5/0</t>
  </si>
  <si>
    <t>Vidar Coin Mat</t>
  </si>
  <si>
    <t>Vidar Coin Mat (colour)</t>
  </si>
  <si>
    <t>CS80BL 3/0</t>
  </si>
  <si>
    <t>Blue</t>
  </si>
  <si>
    <t>CS80BR 3/0</t>
  </si>
  <si>
    <t>Brown</t>
  </si>
  <si>
    <t>CS80GR 3/0</t>
  </si>
  <si>
    <t>Green</t>
  </si>
  <si>
    <t>CS80G 3/0</t>
  </si>
  <si>
    <t>Red</t>
  </si>
  <si>
    <t>CS80R 3/0</t>
  </si>
  <si>
    <t>Yellow</t>
  </si>
  <si>
    <t>CS80Y 3/0</t>
  </si>
  <si>
    <t>Vidar Eco Coin Mat</t>
  </si>
  <si>
    <t>CS65SX 3/0</t>
  </si>
  <si>
    <t>Odin Checker Mat</t>
  </si>
  <si>
    <t>CD65 3/0</t>
  </si>
  <si>
    <t>CD65 3/1</t>
  </si>
  <si>
    <t>Odin Checker Mat (colour)</t>
  </si>
  <si>
    <t>CD65B 3/0</t>
  </si>
  <si>
    <t>Beige</t>
  </si>
  <si>
    <t>CD65G 3/0</t>
  </si>
  <si>
    <t>CD65Y 3/0</t>
  </si>
  <si>
    <t>CD65SX 3/0</t>
  </si>
  <si>
    <t>CD65SX 3/0-0,4</t>
  </si>
  <si>
    <t>CD65SX 3/0-0,5</t>
  </si>
  <si>
    <t>CD65SX 3/0-0,6</t>
  </si>
  <si>
    <t>CD65SX 3/0-0,7</t>
  </si>
  <si>
    <t>CD65SX 3/0-0,8</t>
  </si>
  <si>
    <t>CD65SX 5/0</t>
  </si>
  <si>
    <t>Odin Eco Checker Mat</t>
  </si>
  <si>
    <t>CD65NBR 3/0</t>
  </si>
  <si>
    <t>Odin Checker Mat NBR</t>
  </si>
  <si>
    <t>DCD65 3/0</t>
  </si>
  <si>
    <t>DCD65 5/0</t>
  </si>
  <si>
    <t>DCD65 6/2</t>
  </si>
  <si>
    <t>DCD65 8/1</t>
  </si>
  <si>
    <t>Sphynx Pyramid Mat</t>
  </si>
  <si>
    <t>SD65 3/0</t>
  </si>
  <si>
    <t>SD65G 3/0</t>
  </si>
  <si>
    <t>AM65 3/0</t>
  </si>
  <si>
    <t>Zenith Diamond Mat</t>
  </si>
  <si>
    <t>DD65 3/0</t>
  </si>
  <si>
    <t>DD65G 3/0</t>
  </si>
  <si>
    <t>Zeus Marble Mat</t>
  </si>
  <si>
    <t>SB80145G 2,5/0</t>
  </si>
  <si>
    <t>AV45 8/0-0,5</t>
  </si>
  <si>
    <t>AV45 8/0-1</t>
  </si>
  <si>
    <t>AV45 10/0-0,5</t>
  </si>
  <si>
    <t>AV45 1/0-1</t>
  </si>
  <si>
    <t>Novibramat 45°Shore A</t>
  </si>
  <si>
    <t>Novibramat 70°Shore A</t>
  </si>
  <si>
    <t>AV70 8/0-0,5</t>
  </si>
  <si>
    <t>AV70 8/0-1</t>
  </si>
  <si>
    <t>AV70 10/0-0,5</t>
  </si>
  <si>
    <t>AV70 10/0-1</t>
  </si>
  <si>
    <t>Gross sales price per SQM in EUR</t>
  </si>
  <si>
    <t>Satyr Eco 50</t>
  </si>
  <si>
    <t>NB5010 1/0</t>
  </si>
  <si>
    <t>NB5010 2/0</t>
  </si>
  <si>
    <t>NB5010 2,5/0</t>
  </si>
  <si>
    <t>NB5010 3/0</t>
  </si>
  <si>
    <t>NB5010 4/0</t>
  </si>
  <si>
    <t>NB5010 5/0</t>
  </si>
  <si>
    <t>NB5010 6/0</t>
  </si>
  <si>
    <t>NB5010 8/0</t>
  </si>
  <si>
    <t>NB5010 10/0</t>
  </si>
  <si>
    <t>NB5010 12/0</t>
  </si>
  <si>
    <t>NB5010 20/0</t>
  </si>
  <si>
    <t>Feniks insulation matting</t>
  </si>
  <si>
    <t>I22</t>
  </si>
  <si>
    <t>E31</t>
  </si>
  <si>
    <t>Nett price per Meter in EUR</t>
  </si>
  <si>
    <t xml:space="preserve"> Gross sales price per meter in EUR</t>
  </si>
  <si>
    <t xml:space="preserve"> Gross sales price per piece in EUR</t>
  </si>
  <si>
    <t>Nett price per piece in EUR</t>
  </si>
  <si>
    <t>NB65130 0,5/0</t>
  </si>
  <si>
    <t>CD65NBR 5/0</t>
  </si>
  <si>
    <t>Duratranz</t>
  </si>
  <si>
    <t>Inkoop</t>
  </si>
  <si>
    <t>Factor</t>
  </si>
  <si>
    <t>DTDB 2/0</t>
  </si>
  <si>
    <t>DTG 2/0</t>
  </si>
  <si>
    <t>Dark Blue</t>
  </si>
  <si>
    <t>I23</t>
  </si>
  <si>
    <t>EP70122PC 3/0</t>
  </si>
  <si>
    <t>EP70122PC 4/0</t>
  </si>
  <si>
    <t>EP70122PC 5/0</t>
  </si>
  <si>
    <t>EP7012 10/2</t>
  </si>
  <si>
    <t>EP7012 8/2</t>
  </si>
  <si>
    <t>EP7012 6/2</t>
  </si>
  <si>
    <t>EP7012 5/2</t>
  </si>
  <si>
    <t>EP7012 4/2</t>
  </si>
  <si>
    <t>EP7012 3/2</t>
  </si>
  <si>
    <t>NB7012 10/2</t>
  </si>
  <si>
    <t>NB7012 6/2</t>
  </si>
  <si>
    <t>NB7012 5/2</t>
  </si>
  <si>
    <t>NB7012 4/2</t>
  </si>
  <si>
    <t>NB7012 3/2</t>
  </si>
  <si>
    <t>CR7012 10/2</t>
  </si>
  <si>
    <t>CR7012 8/2</t>
  </si>
  <si>
    <t>CR7012 6/2</t>
  </si>
  <si>
    <t>CR7012 5/2</t>
  </si>
  <si>
    <t>CR7012 4/2</t>
  </si>
  <si>
    <t>CR7012 3/2</t>
  </si>
  <si>
    <t>Abraline 60 Black</t>
  </si>
  <si>
    <t>Abraline60 3/0</t>
  </si>
  <si>
    <t>Abraline60 4/0</t>
  </si>
  <si>
    <t>Abraline60 5/0</t>
  </si>
  <si>
    <t>Abraline60 6/0</t>
  </si>
  <si>
    <t>Abraline60 8/0</t>
  </si>
  <si>
    <t>Abraline60 10/0</t>
  </si>
  <si>
    <t>Abraline60 12/0</t>
  </si>
  <si>
    <t>Abraline60 15/0</t>
  </si>
  <si>
    <t>Abraline60 20/0</t>
  </si>
  <si>
    <t>Abraline 60</t>
  </si>
  <si>
    <t>Plastok OÜ</t>
  </si>
  <si>
    <t>Name</t>
  </si>
  <si>
    <t>Thickness</t>
  </si>
  <si>
    <t>Gross price, EUR</t>
  </si>
  <si>
    <t>Unit</t>
  </si>
  <si>
    <t>Width</t>
  </si>
  <si>
    <t>Length</t>
  </si>
  <si>
    <t>Insertion</t>
  </si>
  <si>
    <t>Nett price, EUR</t>
  </si>
  <si>
    <t>Min °C</t>
  </si>
  <si>
    <t>Max °C</t>
  </si>
  <si>
    <t>Hardness</t>
  </si>
  <si>
    <t>Group</t>
  </si>
  <si>
    <t>M2</t>
  </si>
  <si>
    <t>M</t>
  </si>
  <si>
    <t>Black Miami with insertion</t>
  </si>
  <si>
    <t>TK</t>
  </si>
  <si>
    <t>Satyr Eco with insertion</t>
  </si>
  <si>
    <t>Manticore Eco with insertion</t>
  </si>
  <si>
    <t>Wendigo Eco with insertion</t>
  </si>
  <si>
    <t>Feniks Insulation Fine Rib</t>
  </si>
  <si>
    <t>Feniks Insulation Checker</t>
  </si>
  <si>
    <t>Vidar Coin</t>
  </si>
  <si>
    <t>Vidar Coin (colour)</t>
  </si>
  <si>
    <t>Vidar Eco Coin</t>
  </si>
  <si>
    <t>Odin Checker</t>
  </si>
  <si>
    <t>Odin Checker (colour)</t>
  </si>
  <si>
    <t>Odin Eco Checker</t>
  </si>
  <si>
    <t>Odin Checker NBR</t>
  </si>
  <si>
    <t>Sphynx Pyramid</t>
  </si>
  <si>
    <t>Amoeba</t>
  </si>
  <si>
    <t>Zenith Diamond</t>
  </si>
  <si>
    <t>Zeus Marble</t>
  </si>
  <si>
    <t>KUMM</t>
  </si>
  <si>
    <t>MATT</t>
  </si>
  <si>
    <t>White</t>
  </si>
  <si>
    <t>Translucent</t>
  </si>
  <si>
    <t>Catalog</t>
  </si>
  <si>
    <t>Quantity</t>
  </si>
  <si>
    <t>Material</t>
  </si>
  <si>
    <t>Tensile strength, Mpa</t>
  </si>
  <si>
    <t>Elongation, %</t>
  </si>
  <si>
    <t>NR</t>
  </si>
  <si>
    <t>SBRFDA</t>
  </si>
  <si>
    <t>NBRFDA</t>
  </si>
  <si>
    <t>EPDMFDA</t>
  </si>
  <si>
    <t>CRFDA</t>
  </si>
  <si>
    <t>Silicone</t>
  </si>
  <si>
    <t>NBR/PVC</t>
  </si>
  <si>
    <t>CSM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</si>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</sst>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13" x14ac:knownFonts="1">
    <font>
      <sz val="16"/>
      <color theme="1"/>
      <name val="Titillium Web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Titillium Web"/>
    </font>
    <font>
      <sz val="16"/>
      <color theme="1"/>
      <name val="Titillium Web"/>
    </font>
    <font>
      <b/>
      <sz val="16"/>
      <color theme="0"/>
      <name val="Titillium Web"/>
    </font>
    <font>
      <b/>
      <u/>
      <sz val="16"/>
      <color theme="0"/>
      <name val="Titillium Web"/>
    </font>
    <font>
      <sz val="16"/>
      <name val="Titillium Web"/>
    </font>
    <font>
      <sz val="16"/>
      <color rgb="FF0D181C"/>
      <name val="Titillium Web"/>
    </font>
    <font>
      <b/>
      <sz val="16"/>
      <color rgb="FFFFFFFF"/>
      <name val="Titillium Web"/>
    </font>
    <font>
      <b/>
      <sz val="16"/>
      <name val="Titillium Web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71C709"/>
        <bgColor indexed="64"/>
      </patternFill>
    </fill>
    <fill>
      <patternFill patternType="solid">
        <fgColor rgb="FF009ADF"/>
        <bgColor indexed="64"/>
      </patternFill>
    </fill>
    <fill>
      <patternFill patternType="solid">
        <fgColor rgb="FFFBBA00"/>
        <bgColor indexed="64"/>
      </patternFill>
    </fill>
    <fill>
      <patternFill patternType="solid">
        <fgColor rgb="FFEF7D00"/>
        <bgColor indexed="64"/>
      </patternFill>
    </fill>
    <fill>
      <patternFill patternType="solid">
        <fgColor rgb="FFE30613"/>
        <bgColor indexed="64"/>
      </patternFill>
    </fill>
    <fill>
      <patternFill patternType="solid">
        <fgColor rgb="FF8A4091"/>
        <bgColor indexed="64"/>
      </patternFill>
    </fill>
    <fill>
      <patternFill patternType="solid">
        <fgColor rgb="FF8A959C"/>
        <bgColor indexed="64"/>
      </patternFill>
    </fill>
    <fill>
      <patternFill patternType="solid">
        <fgColor rgb="FF3F4E55"/>
        <bgColor indexed="64"/>
      </patternFill>
    </fill>
    <fill>
      <patternFill patternType="solid">
        <fgColor rgb="FF0095A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n">
        <color theme="4" tint="0.39997558519241921"/>
      </left>
      <right/>
      <top style="thick">
        <color rgb="FFFFFFFF"/>
      </top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ck">
        <color rgb="FFFFFFFF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8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48">
    <xf numFmtId="0" fontId="0" fillId="0" borderId="0" xfId="0"/>
    <xf numFmtId="0" fontId="8" fillId="5" borderId="8" xfId="166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164" fontId="6" fillId="0" borderId="0" xfId="1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 wrapText="1" indent="1"/>
    </xf>
    <xf numFmtId="0" fontId="10" fillId="4" borderId="0" xfId="0" applyFont="1" applyFill="1" applyAlignment="1">
      <alignment horizontal="left" vertical="center" wrapText="1" indent="1"/>
    </xf>
    <xf numFmtId="0" fontId="6" fillId="5" borderId="0" xfId="0" applyFont="1" applyFill="1" applyAlignment="1">
      <alignment horizontal="center" vertical="center" wrapText="1"/>
    </xf>
    <xf numFmtId="0" fontId="8" fillId="5" borderId="7" xfId="166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64" fontId="5" fillId="0" borderId="0" xfId="1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6" borderId="7" xfId="0" applyFont="1" applyFill="1" applyBorder="1" applyAlignment="1">
      <alignment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8" fillId="7" borderId="7" xfId="166" applyFill="1" applyBorder="1" applyAlignment="1">
      <alignment vertical="center"/>
    </xf>
    <xf numFmtId="0" fontId="7" fillId="7" borderId="7" xfId="0" applyFont="1" applyFill="1" applyBorder="1" applyAlignment="1">
      <alignment vertical="center"/>
    </xf>
    <xf numFmtId="0" fontId="11" fillId="7" borderId="6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indent="2"/>
    </xf>
    <xf numFmtId="0" fontId="11" fillId="5" borderId="6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8" fillId="8" borderId="7" xfId="166" applyFill="1" applyBorder="1" applyAlignment="1">
      <alignment vertical="center"/>
    </xf>
    <xf numFmtId="0" fontId="7" fillId="8" borderId="7" xfId="0" applyFont="1" applyFill="1" applyBorder="1" applyAlignment="1">
      <alignment vertical="center"/>
    </xf>
    <xf numFmtId="0" fontId="11" fillId="8" borderId="6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8" fillId="9" borderId="7" xfId="166" applyFill="1" applyBorder="1" applyAlignment="1">
      <alignment vertical="center"/>
    </xf>
    <xf numFmtId="0" fontId="7" fillId="9" borderId="7" xfId="0" applyFont="1" applyFill="1" applyBorder="1" applyAlignment="1">
      <alignment vertical="center"/>
    </xf>
    <xf numFmtId="0" fontId="8" fillId="9" borderId="8" xfId="166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8" fillId="10" borderId="7" xfId="166" applyFill="1" applyBorder="1" applyAlignment="1">
      <alignment vertical="center"/>
    </xf>
    <xf numFmtId="0" fontId="7" fillId="10" borderId="7" xfId="0" applyFont="1" applyFill="1" applyBorder="1" applyAlignment="1">
      <alignment vertical="center"/>
    </xf>
    <xf numFmtId="0" fontId="11" fillId="10" borderId="6" xfId="0" applyFont="1" applyFill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8" fillId="11" borderId="7" xfId="166" applyFill="1" applyBorder="1" applyAlignment="1">
      <alignment vertical="center"/>
    </xf>
    <xf numFmtId="0" fontId="7" fillId="11" borderId="7" xfId="0" applyFont="1" applyFill="1" applyBorder="1" applyAlignment="1">
      <alignment vertical="center"/>
    </xf>
    <xf numFmtId="0" fontId="11" fillId="11" borderId="6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8" fillId="6" borderId="1" xfId="166" applyFill="1" applyBorder="1" applyAlignment="1">
      <alignment vertical="center"/>
    </xf>
    <xf numFmtId="0" fontId="8" fillId="7" borderId="1" xfId="166" applyFill="1" applyBorder="1" applyAlignment="1">
      <alignment vertical="center"/>
    </xf>
    <xf numFmtId="0" fontId="8" fillId="9" borderId="1" xfId="166" applyFill="1" applyBorder="1" applyAlignment="1">
      <alignment vertical="center"/>
    </xf>
    <xf numFmtId="0" fontId="8" fillId="5" borderId="1" xfId="166" applyFill="1" applyBorder="1" applyAlignment="1">
      <alignment vertical="center"/>
    </xf>
    <xf numFmtId="0" fontId="8" fillId="12" borderId="1" xfId="166" applyFill="1" applyBorder="1" applyAlignment="1">
      <alignment vertical="center"/>
    </xf>
    <xf numFmtId="0" fontId="8" fillId="8" borderId="1" xfId="166" applyFill="1" applyBorder="1" applyAlignment="1">
      <alignment vertical="center"/>
    </xf>
    <xf numFmtId="0" fontId="8" fillId="10" borderId="1" xfId="166" applyFill="1" applyBorder="1" applyAlignment="1">
      <alignment vertical="center"/>
    </xf>
    <xf numFmtId="0" fontId="8" fillId="11" borderId="1" xfId="166" applyFill="1" applyBorder="1" applyAlignment="1">
      <alignment vertical="center"/>
    </xf>
    <xf numFmtId="0" fontId="8" fillId="13" borderId="0" xfId="166" applyFill="1" applyAlignment="1">
      <alignment vertical="center"/>
    </xf>
    <xf numFmtId="0" fontId="7" fillId="13" borderId="7" xfId="0" applyFont="1" applyFill="1" applyBorder="1" applyAlignment="1">
      <alignment vertical="center"/>
    </xf>
    <xf numFmtId="0" fontId="7" fillId="13" borderId="7" xfId="0" applyFont="1" applyFill="1" applyBorder="1" applyAlignment="1">
      <alignment horizontal="left" vertical="center" indent="2"/>
    </xf>
    <xf numFmtId="0" fontId="11" fillId="13" borderId="6" xfId="0" applyFont="1" applyFill="1" applyBorder="1" applyAlignment="1">
      <alignment horizontal="center" vertical="center" wrapText="1"/>
    </xf>
    <xf numFmtId="0" fontId="11" fillId="13" borderId="8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vertical="center" wrapText="1"/>
    </xf>
    <xf numFmtId="0" fontId="6" fillId="13" borderId="6" xfId="0" applyFont="1" applyFill="1" applyBorder="1" applyAlignment="1">
      <alignment vertical="center" wrapText="1"/>
    </xf>
    <xf numFmtId="0" fontId="6" fillId="13" borderId="8" xfId="0" applyFont="1" applyFill="1" applyBorder="1" applyAlignment="1">
      <alignment vertical="center" wrapText="1"/>
    </xf>
    <xf numFmtId="0" fontId="6" fillId="13" borderId="7" xfId="0" applyFont="1" applyFill="1" applyBorder="1" applyAlignment="1">
      <alignment horizontal="left" vertical="center" wrapText="1" indent="2"/>
    </xf>
    <xf numFmtId="164" fontId="6" fillId="6" borderId="0" xfId="1" applyFont="1" applyFill="1" applyAlignment="1">
      <alignment horizontal="right" vertical="center" wrapText="1" indent="1"/>
    </xf>
    <xf numFmtId="164" fontId="7" fillId="6" borderId="7" xfId="1" applyFont="1" applyFill="1" applyBorder="1" applyAlignment="1">
      <alignment horizontal="right" vertical="center" indent="1"/>
    </xf>
    <xf numFmtId="164" fontId="11" fillId="6" borderId="6" xfId="1" applyFont="1" applyFill="1" applyBorder="1" applyAlignment="1">
      <alignment horizontal="right" vertical="center" wrapText="1" indent="1"/>
    </xf>
    <xf numFmtId="164" fontId="10" fillId="3" borderId="2" xfId="1" applyFont="1" applyFill="1" applyBorder="1" applyAlignment="1">
      <alignment horizontal="right" vertical="center" wrapText="1" indent="1"/>
    </xf>
    <xf numFmtId="164" fontId="10" fillId="4" borderId="2" xfId="1" applyFont="1" applyFill="1" applyBorder="1" applyAlignment="1">
      <alignment horizontal="right" vertical="center" wrapText="1" indent="1"/>
    </xf>
    <xf numFmtId="164" fontId="11" fillId="6" borderId="8" xfId="1" applyFont="1" applyFill="1" applyBorder="1" applyAlignment="1">
      <alignment horizontal="right" vertical="center" wrapText="1" indent="1"/>
    </xf>
    <xf numFmtId="164" fontId="10" fillId="3" borderId="5" xfId="1" applyFont="1" applyFill="1" applyBorder="1" applyAlignment="1">
      <alignment horizontal="right" vertical="center" wrapText="1" indent="1"/>
    </xf>
    <xf numFmtId="164" fontId="10" fillId="4" borderId="5" xfId="1" applyFont="1" applyFill="1" applyBorder="1" applyAlignment="1">
      <alignment horizontal="right" vertical="center" wrapText="1" indent="1"/>
    </xf>
    <xf numFmtId="164" fontId="6" fillId="0" borderId="0" xfId="1" applyFont="1" applyAlignment="1">
      <alignment horizontal="right" vertical="center" wrapText="1" indent="1"/>
    </xf>
    <xf numFmtId="0" fontId="8" fillId="6" borderId="7" xfId="166" applyFill="1" applyBorder="1" applyAlignment="1">
      <alignment vertical="center"/>
    </xf>
    <xf numFmtId="0" fontId="8" fillId="6" borderId="7" xfId="166" applyFill="1" applyBorder="1" applyAlignment="1">
      <alignment horizontal="left" vertical="center"/>
    </xf>
    <xf numFmtId="0" fontId="6" fillId="6" borderId="0" xfId="0" applyFont="1" applyFill="1" applyAlignment="1">
      <alignment vertical="center"/>
    </xf>
    <xf numFmtId="0" fontId="6" fillId="6" borderId="7" xfId="0" applyFont="1" applyFill="1" applyBorder="1" applyAlignment="1">
      <alignment vertical="center"/>
    </xf>
    <xf numFmtId="0" fontId="6" fillId="6" borderId="0" xfId="0" applyFont="1" applyFill="1" applyAlignment="1">
      <alignment horizontal="left" vertical="center" wrapText="1" indent="1"/>
    </xf>
    <xf numFmtId="0" fontId="7" fillId="6" borderId="7" xfId="0" applyFont="1" applyFill="1" applyBorder="1" applyAlignment="1">
      <alignment horizontal="left" vertical="center" indent="1"/>
    </xf>
    <xf numFmtId="0" fontId="11" fillId="6" borderId="6" xfId="0" applyFont="1" applyFill="1" applyBorder="1" applyAlignment="1">
      <alignment horizontal="left" vertical="center" wrapText="1" indent="1"/>
    </xf>
    <xf numFmtId="0" fontId="10" fillId="3" borderId="2" xfId="0" applyFont="1" applyFill="1" applyBorder="1" applyAlignment="1">
      <alignment horizontal="left" vertical="center" wrapText="1" indent="1"/>
    </xf>
    <xf numFmtId="0" fontId="10" fillId="4" borderId="2" xfId="0" applyFont="1" applyFill="1" applyBorder="1" applyAlignment="1">
      <alignment horizontal="left" vertical="center" wrapText="1" indent="1"/>
    </xf>
    <xf numFmtId="0" fontId="6" fillId="6" borderId="7" xfId="0" applyFont="1" applyFill="1" applyBorder="1" applyAlignment="1">
      <alignment horizontal="left" vertical="center" indent="1"/>
    </xf>
    <xf numFmtId="0" fontId="11" fillId="6" borderId="8" xfId="0" applyFont="1" applyFill="1" applyBorder="1" applyAlignment="1">
      <alignment horizontal="left" vertical="center" wrapText="1" indent="1"/>
    </xf>
    <xf numFmtId="0" fontId="10" fillId="3" borderId="5" xfId="0" applyFont="1" applyFill="1" applyBorder="1" applyAlignment="1">
      <alignment horizontal="left" vertical="center" wrapText="1" indent="1"/>
    </xf>
    <xf numFmtId="0" fontId="10" fillId="4" borderId="5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6" fillId="7" borderId="0" xfId="0" applyFont="1" applyFill="1" applyAlignment="1">
      <alignment horizontal="left" vertical="center" wrapText="1" indent="1"/>
    </xf>
    <xf numFmtId="0" fontId="7" fillId="7" borderId="7" xfId="0" applyFont="1" applyFill="1" applyBorder="1" applyAlignment="1">
      <alignment horizontal="left" vertical="center" indent="1"/>
    </xf>
    <xf numFmtId="0" fontId="11" fillId="7" borderId="8" xfId="0" applyFont="1" applyFill="1" applyBorder="1" applyAlignment="1">
      <alignment horizontal="left" vertical="center" wrapText="1" indent="1"/>
    </xf>
    <xf numFmtId="0" fontId="10" fillId="3" borderId="3" xfId="0" applyFont="1" applyFill="1" applyBorder="1" applyAlignment="1">
      <alignment horizontal="left" vertical="center" wrapText="1" indent="1"/>
    </xf>
    <xf numFmtId="49" fontId="9" fillId="0" borderId="0" xfId="0" applyNumberFormat="1" applyFont="1" applyAlignment="1">
      <alignment horizontal="left" vertical="center" indent="1"/>
    </xf>
    <xf numFmtId="164" fontId="6" fillId="7" borderId="0" xfId="1" applyFont="1" applyFill="1" applyAlignment="1">
      <alignment horizontal="right" vertical="center" wrapText="1" indent="1"/>
    </xf>
    <xf numFmtId="164" fontId="7" fillId="7" borderId="7" xfId="1" applyFont="1" applyFill="1" applyBorder="1" applyAlignment="1">
      <alignment horizontal="right" vertical="center" indent="1"/>
    </xf>
    <xf numFmtId="164" fontId="11" fillId="7" borderId="8" xfId="1" applyFont="1" applyFill="1" applyBorder="1" applyAlignment="1">
      <alignment horizontal="right" vertical="center" wrapText="1" indent="1"/>
    </xf>
    <xf numFmtId="164" fontId="10" fillId="3" borderId="3" xfId="1" applyFont="1" applyFill="1" applyBorder="1" applyAlignment="1">
      <alignment horizontal="right" vertical="center" wrapText="1" indent="1"/>
    </xf>
    <xf numFmtId="164" fontId="9" fillId="0" borderId="0" xfId="1" applyFont="1" applyAlignment="1">
      <alignment horizontal="right" vertical="center" indent="1"/>
    </xf>
    <xf numFmtId="164" fontId="8" fillId="6" borderId="7" xfId="166" applyNumberFormat="1" applyFill="1" applyBorder="1" applyAlignment="1">
      <alignment horizontal="right" vertical="center" indent="1"/>
    </xf>
    <xf numFmtId="164" fontId="6" fillId="6" borderId="7" xfId="1" applyFont="1" applyFill="1" applyBorder="1" applyAlignment="1">
      <alignment horizontal="right" vertical="center" indent="1"/>
    </xf>
    <xf numFmtId="164" fontId="8" fillId="7" borderId="7" xfId="1" applyFont="1" applyFill="1" applyBorder="1" applyAlignment="1">
      <alignment horizontal="right" vertical="center" indent="1"/>
    </xf>
    <xf numFmtId="164" fontId="6" fillId="9" borderId="0" xfId="1" applyFont="1" applyFill="1" applyAlignment="1">
      <alignment horizontal="right" vertical="center" wrapText="1" indent="1"/>
    </xf>
    <xf numFmtId="164" fontId="7" fillId="9" borderId="7" xfId="1" applyFont="1" applyFill="1" applyBorder="1" applyAlignment="1">
      <alignment horizontal="right" vertical="center" indent="1"/>
    </xf>
    <xf numFmtId="164" fontId="11" fillId="9" borderId="8" xfId="1" applyFont="1" applyFill="1" applyBorder="1" applyAlignment="1">
      <alignment horizontal="right" vertical="center" wrapText="1" indent="1"/>
    </xf>
    <xf numFmtId="164" fontId="6" fillId="0" borderId="0" xfId="1" applyFont="1" applyAlignment="1">
      <alignment horizontal="right" vertical="center" indent="1"/>
    </xf>
    <xf numFmtId="164" fontId="6" fillId="5" borderId="0" xfId="1" applyFont="1" applyFill="1" applyAlignment="1">
      <alignment horizontal="right" vertical="center" wrapText="1" indent="1"/>
    </xf>
    <xf numFmtId="164" fontId="7" fillId="5" borderId="7" xfId="1" applyFont="1" applyFill="1" applyBorder="1" applyAlignment="1">
      <alignment horizontal="right" vertical="center" indent="1"/>
    </xf>
    <xf numFmtId="164" fontId="11" fillId="5" borderId="8" xfId="1" applyFont="1" applyFill="1" applyBorder="1" applyAlignment="1">
      <alignment horizontal="right" vertical="center" wrapText="1" indent="1"/>
    </xf>
    <xf numFmtId="0" fontId="6" fillId="3" borderId="0" xfId="0" applyFont="1" applyFill="1" applyAlignment="1">
      <alignment horizontal="left" vertical="center" wrapText="1" indent="1"/>
    </xf>
    <xf numFmtId="0" fontId="6" fillId="4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indent="1"/>
    </xf>
    <xf numFmtId="0" fontId="6" fillId="5" borderId="0" xfId="0" applyFont="1" applyFill="1" applyAlignment="1">
      <alignment horizontal="left" vertical="center" wrapText="1" indent="1"/>
    </xf>
    <xf numFmtId="0" fontId="7" fillId="5" borderId="7" xfId="0" applyFont="1" applyFill="1" applyBorder="1" applyAlignment="1">
      <alignment horizontal="left" vertical="center" indent="1"/>
    </xf>
    <xf numFmtId="0" fontId="7" fillId="5" borderId="8" xfId="0" applyFont="1" applyFill="1" applyBorder="1" applyAlignment="1">
      <alignment horizontal="left" vertical="center" wrapText="1" indent="1"/>
    </xf>
    <xf numFmtId="0" fontId="11" fillId="5" borderId="8" xfId="0" applyFont="1" applyFill="1" applyBorder="1" applyAlignment="1">
      <alignment horizontal="left" vertical="center" wrapText="1" indent="1"/>
    </xf>
    <xf numFmtId="0" fontId="6" fillId="9" borderId="0" xfId="0" applyFont="1" applyFill="1" applyAlignment="1">
      <alignment horizontal="left" vertical="center" wrapText="1" indent="1"/>
    </xf>
    <xf numFmtId="0" fontId="7" fillId="9" borderId="7" xfId="0" applyFont="1" applyFill="1" applyBorder="1" applyAlignment="1">
      <alignment horizontal="left" vertical="center" indent="1"/>
    </xf>
    <xf numFmtId="0" fontId="11" fillId="9" borderId="8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right" vertical="center" indent="1"/>
    </xf>
    <xf numFmtId="164" fontId="6" fillId="8" borderId="0" xfId="1" applyFont="1" applyFill="1" applyAlignment="1">
      <alignment horizontal="right" vertical="center" wrapText="1" indent="1"/>
    </xf>
    <xf numFmtId="164" fontId="7" fillId="8" borderId="7" xfId="1" applyFont="1" applyFill="1" applyBorder="1" applyAlignment="1">
      <alignment horizontal="right" vertical="center" indent="1"/>
    </xf>
    <xf numFmtId="164" fontId="8" fillId="8" borderId="8" xfId="1" applyFont="1" applyFill="1" applyBorder="1" applyAlignment="1">
      <alignment horizontal="right" vertical="center" wrapText="1" indent="1"/>
    </xf>
    <xf numFmtId="164" fontId="11" fillId="8" borderId="8" xfId="1" applyFont="1" applyFill="1" applyBorder="1" applyAlignment="1">
      <alignment horizontal="right" vertical="center" wrapText="1" indent="1"/>
    </xf>
    <xf numFmtId="164" fontId="6" fillId="10" borderId="0" xfId="1" applyFont="1" applyFill="1" applyAlignment="1">
      <alignment horizontal="right" vertical="center" wrapText="1" indent="1"/>
    </xf>
    <xf numFmtId="0" fontId="6" fillId="10" borderId="0" xfId="0" applyFont="1" applyFill="1" applyAlignment="1">
      <alignment horizontal="right" vertical="center" wrapText="1" indent="1"/>
    </xf>
    <xf numFmtId="164" fontId="7" fillId="10" borderId="7" xfId="1" applyFont="1" applyFill="1" applyBorder="1" applyAlignment="1">
      <alignment horizontal="right" vertical="center" indent="1"/>
    </xf>
    <xf numFmtId="0" fontId="8" fillId="10" borderId="8" xfId="166" applyFill="1" applyBorder="1" applyAlignment="1">
      <alignment horizontal="right" vertical="center" wrapText="1" indent="1"/>
    </xf>
    <xf numFmtId="164" fontId="11" fillId="10" borderId="8" xfId="1" applyFont="1" applyFill="1" applyBorder="1" applyAlignment="1">
      <alignment horizontal="right" vertical="center" wrapText="1" indent="1"/>
    </xf>
    <xf numFmtId="0" fontId="11" fillId="10" borderId="8" xfId="0" applyFont="1" applyFill="1" applyBorder="1" applyAlignment="1">
      <alignment horizontal="right" vertical="center" wrapText="1" indent="1"/>
    </xf>
    <xf numFmtId="164" fontId="6" fillId="11" borderId="0" xfId="1" applyFont="1" applyFill="1" applyAlignment="1">
      <alignment horizontal="right" vertical="center" wrapText="1" indent="1"/>
    </xf>
    <xf numFmtId="164" fontId="7" fillId="11" borderId="7" xfId="1" applyFont="1" applyFill="1" applyBorder="1" applyAlignment="1">
      <alignment horizontal="right" vertical="center" indent="1"/>
    </xf>
    <xf numFmtId="164" fontId="8" fillId="11" borderId="8" xfId="1" applyFont="1" applyFill="1" applyBorder="1" applyAlignment="1">
      <alignment horizontal="right" vertical="center" wrapText="1" indent="1"/>
    </xf>
    <xf numFmtId="164" fontId="11" fillId="11" borderId="8" xfId="1" applyFont="1" applyFill="1" applyBorder="1" applyAlignment="1">
      <alignment horizontal="right" vertical="center" wrapText="1" indent="1"/>
    </xf>
    <xf numFmtId="0" fontId="6" fillId="11" borderId="0" xfId="0" applyFont="1" applyFill="1" applyAlignment="1">
      <alignment horizontal="left" vertical="center" wrapText="1" indent="1"/>
    </xf>
    <xf numFmtId="0" fontId="7" fillId="11" borderId="7" xfId="0" applyFont="1" applyFill="1" applyBorder="1" applyAlignment="1">
      <alignment horizontal="left" vertical="center" indent="1"/>
    </xf>
    <xf numFmtId="0" fontId="7" fillId="11" borderId="8" xfId="0" applyFont="1" applyFill="1" applyBorder="1" applyAlignment="1">
      <alignment horizontal="left" vertical="center" wrapText="1" indent="1"/>
    </xf>
    <xf numFmtId="0" fontId="6" fillId="10" borderId="0" xfId="0" applyFont="1" applyFill="1" applyAlignment="1">
      <alignment horizontal="left" vertical="center" wrapText="1" indent="1"/>
    </xf>
    <xf numFmtId="0" fontId="7" fillId="10" borderId="7" xfId="0" applyFont="1" applyFill="1" applyBorder="1" applyAlignment="1">
      <alignment horizontal="left" vertical="center" indent="1"/>
    </xf>
    <xf numFmtId="0" fontId="7" fillId="10" borderId="8" xfId="0" applyFont="1" applyFill="1" applyBorder="1" applyAlignment="1">
      <alignment horizontal="left" vertical="center" wrapText="1" indent="1"/>
    </xf>
    <xf numFmtId="0" fontId="6" fillId="8" borderId="0" xfId="0" applyFont="1" applyFill="1" applyAlignment="1">
      <alignment horizontal="left" vertical="center" wrapText="1" indent="1"/>
    </xf>
    <xf numFmtId="0" fontId="7" fillId="8" borderId="7" xfId="0" applyFont="1" applyFill="1" applyBorder="1" applyAlignment="1">
      <alignment horizontal="left" vertical="center" indent="1"/>
    </xf>
    <xf numFmtId="0" fontId="7" fillId="8" borderId="8" xfId="0" applyFont="1" applyFill="1" applyBorder="1" applyAlignment="1">
      <alignment horizontal="left" vertical="center" wrapText="1" indent="1"/>
    </xf>
    <xf numFmtId="0" fontId="6" fillId="13" borderId="7" xfId="0" applyFont="1" applyFill="1" applyBorder="1" applyAlignment="1">
      <alignment horizontal="left" vertical="center" wrapText="1" indent="1"/>
    </xf>
    <xf numFmtId="0" fontId="7" fillId="13" borderId="7" xfId="0" applyFont="1" applyFill="1" applyBorder="1" applyAlignment="1">
      <alignment horizontal="left" vertical="center" indent="1"/>
    </xf>
    <xf numFmtId="0" fontId="11" fillId="13" borderId="6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8" fillId="13" borderId="7" xfId="166" applyFill="1" applyBorder="1" applyAlignment="1">
      <alignment vertical="center"/>
    </xf>
    <xf numFmtId="164" fontId="6" fillId="13" borderId="7" xfId="1" applyFont="1" applyFill="1" applyBorder="1" applyAlignment="1">
      <alignment horizontal="right" vertical="center" wrapText="1" indent="1"/>
    </xf>
    <xf numFmtId="164" fontId="6" fillId="13" borderId="6" xfId="1" applyFont="1" applyFill="1" applyBorder="1" applyAlignment="1">
      <alignment horizontal="right" vertical="center" wrapText="1" indent="1"/>
    </xf>
    <xf numFmtId="164" fontId="8" fillId="13" borderId="8" xfId="1" applyFont="1" applyFill="1" applyBorder="1" applyAlignment="1">
      <alignment horizontal="right" vertical="center" wrapText="1" indent="1"/>
    </xf>
    <xf numFmtId="164" fontId="11" fillId="13" borderId="6" xfId="1" applyFont="1" applyFill="1" applyBorder="1" applyAlignment="1">
      <alignment horizontal="right" vertical="center" wrapText="1" indent="1"/>
    </xf>
    <xf numFmtId="164" fontId="11" fillId="13" borderId="8" xfId="1" applyFont="1" applyFill="1" applyBorder="1" applyAlignment="1">
      <alignment horizontal="right" vertical="center" wrapText="1" indent="1"/>
    </xf>
    <xf numFmtId="164" fontId="8" fillId="13" borderId="9" xfId="1" applyFont="1" applyFill="1" applyBorder="1" applyAlignment="1">
      <alignment horizontal="right" vertical="center" wrapText="1" indent="1"/>
    </xf>
    <xf numFmtId="0" fontId="8" fillId="12" borderId="7" xfId="166" applyFill="1" applyBorder="1" applyAlignment="1">
      <alignment vertical="center"/>
    </xf>
    <xf numFmtId="0" fontId="7" fillId="12" borderId="7" xfId="0" applyFont="1" applyFill="1" applyBorder="1" applyAlignment="1">
      <alignment vertical="center"/>
    </xf>
    <xf numFmtId="164" fontId="7" fillId="12" borderId="7" xfId="1" applyFont="1" applyFill="1" applyBorder="1" applyAlignment="1">
      <alignment horizontal="right" vertical="center" indent="1"/>
    </xf>
    <xf numFmtId="164" fontId="6" fillId="0" borderId="0" xfId="1" applyFont="1" applyBorder="1" applyAlignment="1">
      <alignment horizontal="right" vertical="center" wrapText="1"/>
    </xf>
    <xf numFmtId="0" fontId="7" fillId="12" borderId="6" xfId="0" applyFont="1" applyFill="1" applyBorder="1" applyAlignment="1">
      <alignment horizontal="center" vertical="center" wrapText="1"/>
    </xf>
    <xf numFmtId="164" fontId="7" fillId="12" borderId="6" xfId="1" applyFont="1" applyFill="1" applyBorder="1" applyAlignment="1">
      <alignment horizontal="right" vertical="center" wrapText="1" indent="1"/>
    </xf>
    <xf numFmtId="0" fontId="7" fillId="1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165" fontId="5" fillId="0" borderId="0" xfId="1" applyNumberFormat="1" applyFont="1" applyAlignment="1">
      <alignment horizontal="left" vertical="center"/>
    </xf>
    <xf numFmtId="164" fontId="6" fillId="0" borderId="0" xfId="0" applyNumberFormat="1" applyFont="1" applyAlignment="1">
      <alignment horizontal="right" vertical="center" wrapText="1"/>
    </xf>
    <xf numFmtId="9" fontId="6" fillId="0" borderId="0" xfId="1" applyNumberFormat="1" applyFont="1" applyAlignment="1">
      <alignment horizontal="center" vertical="center"/>
    </xf>
    <xf numFmtId="0" fontId="7" fillId="12" borderId="7" xfId="0" applyFont="1" applyFill="1" applyBorder="1" applyAlignment="1">
      <alignment horizontal="left" vertical="center" indent="1"/>
    </xf>
    <xf numFmtId="0" fontId="8" fillId="12" borderId="8" xfId="166" applyFill="1" applyBorder="1" applyAlignment="1">
      <alignment horizontal="right" vertical="center" wrapText="1" indent="1"/>
    </xf>
    <xf numFmtId="0" fontId="11" fillId="12" borderId="6" xfId="0" applyFont="1" applyFill="1" applyBorder="1" applyAlignment="1">
      <alignment horizontal="center" vertical="center" wrapText="1"/>
    </xf>
    <xf numFmtId="0" fontId="11" fillId="12" borderId="8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left" vertical="center" wrapText="1" indent="1"/>
    </xf>
    <xf numFmtId="164" fontId="11" fillId="12" borderId="8" xfId="1" applyFont="1" applyFill="1" applyBorder="1" applyAlignment="1">
      <alignment horizontal="right" vertical="center" wrapText="1" indent="1"/>
    </xf>
    <xf numFmtId="0" fontId="11" fillId="12" borderId="8" xfId="0" applyFont="1" applyFill="1" applyBorder="1" applyAlignment="1">
      <alignment horizontal="right" vertical="center" wrapText="1" indent="1"/>
    </xf>
    <xf numFmtId="0" fontId="6" fillId="12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left" vertical="center" wrapText="1" indent="1"/>
    </xf>
    <xf numFmtId="164" fontId="6" fillId="12" borderId="0" xfId="1" applyFont="1" applyFill="1" applyAlignment="1">
      <alignment horizontal="right" vertical="center" wrapText="1" indent="1"/>
    </xf>
    <xf numFmtId="0" fontId="6" fillId="12" borderId="0" xfId="0" applyFont="1" applyFill="1" applyAlignment="1">
      <alignment horizontal="right" vertical="center" wrapText="1" indent="1"/>
    </xf>
    <xf numFmtId="0" fontId="7" fillId="12" borderId="6" xfId="0" applyFont="1" applyFill="1" applyBorder="1" applyAlignment="1">
      <alignment horizontal="left" vertical="center" wrapText="1" indent="1"/>
    </xf>
    <xf numFmtId="0" fontId="10" fillId="4" borderId="0" xfId="0" applyFont="1" applyFill="1" applyAlignment="1">
      <alignment horizontal="left" vertical="center" wrapText="1" indent="2"/>
    </xf>
    <xf numFmtId="164" fontId="10" fillId="4" borderId="5" xfId="1" applyFont="1" applyFill="1" applyBorder="1" applyAlignment="1">
      <alignment horizontal="right" vertical="center" wrapText="1" indent="2"/>
    </xf>
    <xf numFmtId="164" fontId="8" fillId="13" borderId="8" xfId="1" applyFont="1" applyFill="1" applyBorder="1" applyAlignment="1">
      <alignment horizontal="right" vertical="center" wrapText="1" indent="2"/>
    </xf>
    <xf numFmtId="0" fontId="8" fillId="13" borderId="8" xfId="166" applyFill="1" applyBorder="1" applyAlignment="1">
      <alignment horizontal="center" vertical="center" wrapText="1"/>
    </xf>
    <xf numFmtId="0" fontId="11" fillId="13" borderId="6" xfId="0" applyFont="1" applyFill="1" applyBorder="1" applyAlignment="1">
      <alignment horizontal="left" vertical="center" wrapText="1" indent="2"/>
    </xf>
    <xf numFmtId="164" fontId="11" fillId="13" borderId="6" xfId="1" applyFont="1" applyFill="1" applyBorder="1" applyAlignment="1">
      <alignment horizontal="right" vertical="center" wrapText="1" indent="2"/>
    </xf>
    <xf numFmtId="1" fontId="5" fillId="0" borderId="0" xfId="1" applyNumberFormat="1" applyFont="1" applyAlignment="1">
      <alignment horizontal="center" vertical="center"/>
    </xf>
    <xf numFmtId="0" fontId="10" fillId="3" borderId="0" xfId="0" applyFont="1" applyFill="1" applyAlignment="1">
      <alignment horizontal="left" vertical="center" wrapText="1" indent="2"/>
    </xf>
    <xf numFmtId="164" fontId="10" fillId="3" borderId="5" xfId="1" applyFont="1" applyFill="1" applyBorder="1" applyAlignment="1">
      <alignment horizontal="right" vertical="center" wrapText="1" indent="2"/>
    </xf>
    <xf numFmtId="0" fontId="6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8" fillId="6" borderId="4" xfId="166" applyFill="1" applyBorder="1" applyAlignment="1">
      <alignment vertical="center"/>
    </xf>
    <xf numFmtId="0" fontId="8" fillId="7" borderId="0" xfId="166" applyFill="1" applyAlignment="1">
      <alignment vertical="center" wrapText="1"/>
    </xf>
    <xf numFmtId="0" fontId="8" fillId="9" borderId="0" xfId="166" applyFill="1" applyAlignment="1">
      <alignment vertical="center" wrapText="1"/>
    </xf>
    <xf numFmtId="0" fontId="8" fillId="5" borderId="0" xfId="166" applyFill="1" applyAlignment="1">
      <alignment vertical="center" wrapText="1"/>
    </xf>
    <xf numFmtId="0" fontId="8" fillId="12" borderId="0" xfId="166" applyFill="1" applyAlignment="1">
      <alignment vertical="center" wrapText="1"/>
    </xf>
    <xf numFmtId="0" fontId="8" fillId="8" borderId="4" xfId="166" applyFill="1" applyBorder="1" applyAlignment="1">
      <alignment vertical="center" wrapText="1"/>
    </xf>
    <xf numFmtId="0" fontId="8" fillId="10" borderId="4" xfId="166" applyFill="1" applyBorder="1" applyAlignment="1">
      <alignment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6" fillId="12" borderId="0" xfId="0" applyFont="1" applyFill="1" applyBorder="1" applyAlignment="1">
      <alignment horizontal="left" vertical="center" wrapText="1" indent="1"/>
    </xf>
    <xf numFmtId="0" fontId="8" fillId="11" borderId="4" xfId="166" applyFill="1" applyBorder="1" applyAlignment="1">
      <alignment vertical="center" wrapText="1"/>
    </xf>
    <xf numFmtId="0" fontId="8" fillId="13" borderId="9" xfId="166" applyFill="1" applyBorder="1" applyAlignment="1">
      <alignment vertical="center" wrapText="1"/>
    </xf>
    <xf numFmtId="0" fontId="8" fillId="13" borderId="7" xfId="166" applyFill="1" applyBorder="1" applyAlignment="1">
      <alignment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164" fontId="11" fillId="6" borderId="11" xfId="1" applyFont="1" applyFill="1" applyBorder="1" applyAlignment="1">
      <alignment horizontal="right" vertical="center" wrapText="1" indent="1"/>
    </xf>
    <xf numFmtId="0" fontId="8" fillId="6" borderId="10" xfId="166" applyFill="1" applyBorder="1" applyAlignment="1">
      <alignment vertical="center"/>
    </xf>
    <xf numFmtId="0" fontId="7" fillId="6" borderId="12" xfId="0" applyFont="1" applyFill="1" applyBorder="1" applyAlignment="1">
      <alignment vertical="center"/>
    </xf>
    <xf numFmtId="164" fontId="7" fillId="6" borderId="12" xfId="1" applyFont="1" applyFill="1" applyBorder="1" applyAlignment="1">
      <alignment horizontal="right" vertical="center" indent="1"/>
    </xf>
    <xf numFmtId="164" fontId="8" fillId="6" borderId="12" xfId="166" applyNumberFormat="1" applyFill="1" applyBorder="1" applyAlignment="1">
      <alignment horizontal="right" vertical="center" indent="1"/>
    </xf>
    <xf numFmtId="0" fontId="0" fillId="0" borderId="13" xfId="0" applyBorder="1"/>
    <xf numFmtId="0" fontId="0" fillId="0" borderId="14" xfId="0" applyBorder="1"/>
    <xf numFmtId="0" fontId="0" fillId="14" borderId="15" xfId="0" applyFill="1" applyBorder="1"/>
    <xf numFmtId="0" fontId="0" fillId="14" borderId="13" xfId="0" applyFill="1" applyBorder="1"/>
    <xf numFmtId="0" fontId="0" fillId="14" borderId="14" xfId="0" applyFill="1" applyBorder="1"/>
    <xf numFmtId="0" fontId="0" fillId="0" borderId="15" xfId="0" applyBorder="1"/>
    <xf numFmtId="0" fontId="10" fillId="3" borderId="15" xfId="0" applyFont="1" applyFill="1" applyBorder="1" applyAlignment="1">
      <alignment horizontal="center" vertical="center" wrapText="1"/>
    </xf>
    <xf numFmtId="0" fontId="8" fillId="7" borderId="10" xfId="166" applyFill="1" applyBorder="1" applyAlignment="1">
      <alignment vertical="center"/>
    </xf>
    <xf numFmtId="0" fontId="7" fillId="7" borderId="12" xfId="0" applyFont="1" applyFill="1" applyBorder="1" applyAlignment="1">
      <alignment vertical="center"/>
    </xf>
    <xf numFmtId="164" fontId="7" fillId="7" borderId="12" xfId="1" applyFont="1" applyFill="1" applyBorder="1" applyAlignment="1">
      <alignment horizontal="right" vertical="center" indent="1"/>
    </xf>
    <xf numFmtId="164" fontId="8" fillId="7" borderId="12" xfId="1" applyFont="1" applyFill="1" applyBorder="1" applyAlignment="1">
      <alignment horizontal="right" vertical="center" inden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164" fontId="11" fillId="7" borderId="11" xfId="1" applyFont="1" applyFill="1" applyBorder="1" applyAlignment="1">
      <alignment horizontal="right" vertical="center" wrapText="1" indent="1"/>
    </xf>
    <xf numFmtId="0" fontId="8" fillId="9" borderId="10" xfId="166" applyFill="1" applyBorder="1" applyAlignment="1">
      <alignment vertical="center"/>
    </xf>
    <xf numFmtId="0" fontId="7" fillId="9" borderId="12" xfId="0" applyFont="1" applyFill="1" applyBorder="1" applyAlignment="1">
      <alignment vertical="center"/>
    </xf>
    <xf numFmtId="164" fontId="7" fillId="9" borderId="12" xfId="1" applyFont="1" applyFill="1" applyBorder="1" applyAlignment="1">
      <alignment horizontal="right" vertical="center" indent="1"/>
    </xf>
    <xf numFmtId="0" fontId="8" fillId="9" borderId="11" xfId="166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164" fontId="11" fillId="9" borderId="11" xfId="1" applyFont="1" applyFill="1" applyBorder="1" applyAlignment="1">
      <alignment horizontal="right" vertical="center" wrapText="1" indent="1"/>
    </xf>
    <xf numFmtId="0" fontId="8" fillId="5" borderId="10" xfId="166" applyFill="1" applyBorder="1" applyAlignment="1">
      <alignment vertical="center"/>
    </xf>
    <xf numFmtId="0" fontId="7" fillId="5" borderId="12" xfId="0" applyFont="1" applyFill="1" applyBorder="1" applyAlignment="1">
      <alignment vertical="center"/>
    </xf>
    <xf numFmtId="164" fontId="7" fillId="5" borderId="12" xfId="1" applyFont="1" applyFill="1" applyBorder="1" applyAlignment="1">
      <alignment horizontal="right" vertical="center" indent="1"/>
    </xf>
    <xf numFmtId="0" fontId="8" fillId="5" borderId="11" xfId="166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164" fontId="11" fillId="5" borderId="11" xfId="1" applyFont="1" applyFill="1" applyBorder="1" applyAlignment="1">
      <alignment horizontal="right" vertical="center" wrapText="1" indent="1"/>
    </xf>
    <xf numFmtId="0" fontId="8" fillId="12" borderId="10" xfId="166" applyFill="1" applyBorder="1" applyAlignment="1">
      <alignment vertical="center"/>
    </xf>
    <xf numFmtId="0" fontId="7" fillId="12" borderId="12" xfId="0" applyFont="1" applyFill="1" applyBorder="1" applyAlignment="1">
      <alignment vertical="center"/>
    </xf>
    <xf numFmtId="164" fontId="7" fillId="12" borderId="12" xfId="1" applyFont="1" applyFill="1" applyBorder="1" applyAlignment="1">
      <alignment horizontal="right" vertical="center" indent="1"/>
    </xf>
    <xf numFmtId="0" fontId="8" fillId="12" borderId="11" xfId="166" applyFill="1" applyBorder="1" applyAlignment="1">
      <alignment horizontal="right" vertical="center" wrapText="1" indent="1"/>
    </xf>
    <xf numFmtId="0" fontId="11" fillId="12" borderId="10" xfId="0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 vertical="center" wrapText="1"/>
    </xf>
    <xf numFmtId="164" fontId="11" fillId="12" borderId="11" xfId="1" applyFont="1" applyFill="1" applyBorder="1" applyAlignment="1">
      <alignment horizontal="right" vertical="center" wrapText="1" indent="1"/>
    </xf>
    <xf numFmtId="0" fontId="11" fillId="12" borderId="11" xfId="0" applyFont="1" applyFill="1" applyBorder="1" applyAlignment="1">
      <alignment horizontal="right" vertical="center" wrapText="1" indent="1"/>
    </xf>
    <xf numFmtId="0" fontId="10" fillId="3" borderId="13" xfId="0" applyFont="1" applyFill="1" applyBorder="1" applyAlignment="1">
      <alignment horizontal="center" vertical="center" wrapText="1"/>
    </xf>
    <xf numFmtId="0" fontId="8" fillId="8" borderId="10" xfId="166" applyFill="1" applyBorder="1" applyAlignment="1">
      <alignment vertical="center"/>
    </xf>
    <xf numFmtId="0" fontId="7" fillId="8" borderId="12" xfId="0" applyFont="1" applyFill="1" applyBorder="1" applyAlignment="1">
      <alignment vertical="center"/>
    </xf>
    <xf numFmtId="164" fontId="7" fillId="8" borderId="12" xfId="1" applyFont="1" applyFill="1" applyBorder="1" applyAlignment="1">
      <alignment horizontal="right" vertical="center" indent="1"/>
    </xf>
    <xf numFmtId="164" fontId="8" fillId="8" borderId="11" xfId="1" applyFont="1" applyFill="1" applyBorder="1" applyAlignment="1">
      <alignment horizontal="right" vertical="center" wrapText="1" indent="1"/>
    </xf>
    <xf numFmtId="0" fontId="8" fillId="10" borderId="10" xfId="166" applyFill="1" applyBorder="1" applyAlignment="1">
      <alignment vertical="center"/>
    </xf>
    <xf numFmtId="0" fontId="7" fillId="10" borderId="12" xfId="0" applyFont="1" applyFill="1" applyBorder="1" applyAlignment="1">
      <alignment vertical="center"/>
    </xf>
    <xf numFmtId="164" fontId="7" fillId="10" borderId="12" xfId="1" applyFont="1" applyFill="1" applyBorder="1" applyAlignment="1">
      <alignment horizontal="right" vertical="center" indent="1"/>
    </xf>
    <xf numFmtId="0" fontId="8" fillId="10" borderId="11" xfId="166" applyFill="1" applyBorder="1" applyAlignment="1">
      <alignment horizontal="right" vertical="center" wrapText="1" indent="1"/>
    </xf>
    <xf numFmtId="0" fontId="8" fillId="11" borderId="10" xfId="166" applyFill="1" applyBorder="1" applyAlignment="1">
      <alignment vertical="center"/>
    </xf>
    <xf numFmtId="0" fontId="7" fillId="11" borderId="12" xfId="0" applyFont="1" applyFill="1" applyBorder="1" applyAlignment="1">
      <alignment vertical="center"/>
    </xf>
    <xf numFmtId="164" fontId="7" fillId="11" borderId="12" xfId="1" applyFont="1" applyFill="1" applyBorder="1" applyAlignment="1">
      <alignment horizontal="right" vertical="center" indent="1"/>
    </xf>
    <xf numFmtId="164" fontId="8" fillId="11" borderId="11" xfId="1" applyFont="1" applyFill="1" applyBorder="1" applyAlignment="1">
      <alignment horizontal="right" vertical="center" wrapText="1" indent="1"/>
    </xf>
    <xf numFmtId="0" fontId="11" fillId="11" borderId="10" xfId="0" applyFont="1" applyFill="1" applyBorder="1" applyAlignment="1">
      <alignment horizontal="center" vertical="center" wrapText="1"/>
    </xf>
    <xf numFmtId="0" fontId="11" fillId="11" borderId="11" xfId="0" applyFont="1" applyFill="1" applyBorder="1" applyAlignment="1">
      <alignment horizontal="center" vertical="center" wrapText="1"/>
    </xf>
    <xf numFmtId="164" fontId="11" fillId="11" borderId="11" xfId="1" applyFont="1" applyFill="1" applyBorder="1" applyAlignment="1">
      <alignment horizontal="right" vertical="center" wrapText="1" indent="1"/>
    </xf>
    <xf numFmtId="0" fontId="8" fillId="13" borderId="10" xfId="166" applyFill="1" applyBorder="1" applyAlignment="1">
      <alignment vertical="center"/>
    </xf>
    <xf numFmtId="0" fontId="7" fillId="13" borderId="12" xfId="0" applyFont="1" applyFill="1" applyBorder="1" applyAlignment="1">
      <alignment vertical="center"/>
    </xf>
    <xf numFmtId="164" fontId="8" fillId="13" borderId="11" xfId="1" applyFont="1" applyFill="1" applyBorder="1" applyAlignment="1">
      <alignment horizontal="right" vertical="center" wrapText="1" indent="1"/>
    </xf>
    <xf numFmtId="0" fontId="0" fillId="14" borderId="15" xfId="0" applyFill="1" applyBorder="1" applyAlignment="1">
      <alignment horizontal="center" vertical="center" wrapText="1"/>
    </xf>
    <xf numFmtId="0" fontId="11" fillId="13" borderId="10" xfId="0" applyFont="1" applyFill="1" applyBorder="1" applyAlignment="1">
      <alignment horizontal="center" vertical="center" wrapText="1"/>
    </xf>
    <xf numFmtId="0" fontId="11" fillId="13" borderId="11" xfId="0" applyFont="1" applyFill="1" applyBorder="1" applyAlignment="1">
      <alignment horizontal="center" vertical="center" wrapText="1"/>
    </xf>
    <xf numFmtId="164" fontId="11" fillId="13" borderId="11" xfId="1" applyFont="1" applyFill="1" applyBorder="1" applyAlignment="1">
      <alignment horizontal="right" vertical="center" wrapText="1" indent="1"/>
    </xf>
    <xf numFmtId="0" fontId="5" fillId="0" borderId="15" xfId="0" applyFont="1" applyBorder="1" applyAlignment="1">
      <alignment horizontal="center" vertical="center" wrapText="1"/>
    </xf>
    <xf numFmtId="0" fontId="0" fillId="14" borderId="15" xfId="0" applyFill="1" applyBorder="1" applyAlignment="1">
      <alignment vertical="center"/>
    </xf>
    <xf numFmtId="0" fontId="0" fillId="0" borderId="15" xfId="0" applyBorder="1" applyAlignment="1">
      <alignment vertical="center"/>
    </xf>
    <xf numFmtId="0" fontId="5" fillId="14" borderId="15" xfId="0" applyFont="1" applyFill="1" applyBorder="1" applyAlignment="1">
      <alignment horizontal="center" vertical="center" wrapText="1"/>
    </xf>
    <xf numFmtId="164" fontId="11" fillId="13" borderId="11" xfId="1" applyFont="1" applyFill="1" applyBorder="1" applyAlignment="1">
      <alignment horizontal="right" vertical="center" wrapText="1" indent="2"/>
    </xf>
    <xf numFmtId="0" fontId="11" fillId="6" borderId="12" xfId="0" applyFont="1" applyFill="1" applyBorder="1" applyAlignment="1">
      <alignment horizontal="left" vertical="center" wrapText="1" indent="1"/>
    </xf>
    <xf numFmtId="0" fontId="7" fillId="6" borderId="12" xfId="0" applyFont="1" applyFill="1" applyBorder="1" applyAlignment="1">
      <alignment horizontal="left" vertical="center" indent="1"/>
    </xf>
    <xf numFmtId="0" fontId="7" fillId="7" borderId="12" xfId="0" applyFont="1" applyFill="1" applyBorder="1" applyAlignment="1">
      <alignment horizontal="left" vertical="center" indent="1"/>
    </xf>
    <xf numFmtId="0" fontId="11" fillId="7" borderId="12" xfId="0" applyFont="1" applyFill="1" applyBorder="1" applyAlignment="1">
      <alignment horizontal="left" vertical="center" wrapText="1" indent="1"/>
    </xf>
    <xf numFmtId="0" fontId="7" fillId="9" borderId="12" xfId="0" applyFont="1" applyFill="1" applyBorder="1" applyAlignment="1">
      <alignment horizontal="left" vertical="center" indent="1"/>
    </xf>
    <xf numFmtId="0" fontId="11" fillId="9" borderId="12" xfId="0" applyFont="1" applyFill="1" applyBorder="1" applyAlignment="1">
      <alignment horizontal="left" vertical="center" wrapText="1" indent="1"/>
    </xf>
    <xf numFmtId="0" fontId="7" fillId="5" borderId="12" xfId="0" applyFont="1" applyFill="1" applyBorder="1" applyAlignment="1">
      <alignment horizontal="left" vertical="center" indent="1"/>
    </xf>
    <xf numFmtId="0" fontId="7" fillId="5" borderId="12" xfId="0" applyFont="1" applyFill="1" applyBorder="1" applyAlignment="1">
      <alignment horizontal="left" vertical="center" wrapText="1" indent="1"/>
    </xf>
    <xf numFmtId="0" fontId="11" fillId="5" borderId="12" xfId="0" applyFont="1" applyFill="1" applyBorder="1" applyAlignment="1">
      <alignment horizontal="left" vertical="center" wrapText="1" indent="1"/>
    </xf>
    <xf numFmtId="0" fontId="7" fillId="12" borderId="12" xfId="0" applyFont="1" applyFill="1" applyBorder="1" applyAlignment="1">
      <alignment horizontal="left" vertical="center" indent="1"/>
    </xf>
    <xf numFmtId="0" fontId="7" fillId="12" borderId="12" xfId="0" applyFont="1" applyFill="1" applyBorder="1" applyAlignment="1">
      <alignment horizontal="left" vertical="center" wrapText="1" indent="1"/>
    </xf>
    <xf numFmtId="0" fontId="7" fillId="8" borderId="12" xfId="0" applyFont="1" applyFill="1" applyBorder="1" applyAlignment="1">
      <alignment horizontal="left" vertical="center" indent="1"/>
    </xf>
    <xf numFmtId="0" fontId="7" fillId="10" borderId="12" xfId="0" applyFont="1" applyFill="1" applyBorder="1" applyAlignment="1">
      <alignment horizontal="left" vertical="center" indent="1"/>
    </xf>
    <xf numFmtId="0" fontId="7" fillId="11" borderId="12" xfId="0" applyFont="1" applyFill="1" applyBorder="1" applyAlignment="1">
      <alignment horizontal="left" vertical="center" indent="1"/>
    </xf>
    <xf numFmtId="0" fontId="7" fillId="11" borderId="12" xfId="0" applyFont="1" applyFill="1" applyBorder="1" applyAlignment="1">
      <alignment horizontal="left" vertical="center" wrapText="1" indent="1"/>
    </xf>
    <xf numFmtId="0" fontId="7" fillId="13" borderId="12" xfId="0" applyFont="1" applyFill="1" applyBorder="1" applyAlignment="1">
      <alignment horizontal="left" vertical="center" indent="1"/>
    </xf>
    <xf numFmtId="0" fontId="11" fillId="13" borderId="12" xfId="0" applyFont="1" applyFill="1" applyBorder="1" applyAlignment="1">
      <alignment horizontal="left" vertical="center" wrapText="1" indent="1"/>
    </xf>
    <xf numFmtId="0" fontId="11" fillId="13" borderId="12" xfId="0" applyFont="1" applyFill="1" applyBorder="1" applyAlignment="1">
      <alignment horizontal="left" vertical="center" wrapText="1" indent="2"/>
    </xf>
    <xf numFmtId="164" fontId="11" fillId="6" borderId="12" xfId="1" applyFont="1" applyFill="1" applyBorder="1" applyAlignment="1">
      <alignment horizontal="right" vertical="center" wrapText="1" indent="1"/>
    </xf>
    <xf numFmtId="164" fontId="11" fillId="7" borderId="12" xfId="1" applyFont="1" applyFill="1" applyBorder="1" applyAlignment="1">
      <alignment horizontal="right" vertical="center" wrapText="1" indent="1"/>
    </xf>
    <xf numFmtId="164" fontId="11" fillId="9" borderId="12" xfId="1" applyFont="1" applyFill="1" applyBorder="1" applyAlignment="1">
      <alignment horizontal="right" vertical="center" wrapText="1" indent="1"/>
    </xf>
    <xf numFmtId="164" fontId="11" fillId="5" borderId="12" xfId="1" applyFont="1" applyFill="1" applyBorder="1" applyAlignment="1">
      <alignment horizontal="right" vertical="center" wrapText="1" indent="1"/>
    </xf>
    <xf numFmtId="164" fontId="11" fillId="12" borderId="12" xfId="1" applyFont="1" applyFill="1" applyBorder="1" applyAlignment="1">
      <alignment horizontal="right" vertical="center" wrapText="1" indent="1"/>
    </xf>
    <xf numFmtId="164" fontId="11" fillId="11" borderId="12" xfId="1" applyFont="1" applyFill="1" applyBorder="1" applyAlignment="1">
      <alignment horizontal="right" vertical="center" wrapText="1" indent="1"/>
    </xf>
    <xf numFmtId="164" fontId="8" fillId="13" borderId="12" xfId="1" applyFont="1" applyFill="1" applyBorder="1" applyAlignment="1">
      <alignment horizontal="right" vertical="center" wrapText="1" indent="1"/>
    </xf>
    <xf numFmtId="164" fontId="11" fillId="13" borderId="12" xfId="1" applyFont="1" applyFill="1" applyBorder="1" applyAlignment="1">
      <alignment horizontal="right" vertical="center" wrapText="1" indent="1"/>
    </xf>
    <xf numFmtId="164" fontId="11" fillId="13" borderId="12" xfId="1" applyFont="1" applyFill="1" applyBorder="1" applyAlignment="1">
      <alignment horizontal="right" vertical="center" wrapText="1" indent="2"/>
    </xf>
    <xf numFmtId="0" fontId="11" fillId="6" borderId="0" xfId="0" applyFont="1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7" fillId="6" borderId="0" xfId="0" applyFont="1" applyFill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7" borderId="0" xfId="0" applyFill="1" applyBorder="1" applyAlignment="1">
      <alignment horizontal="center" vertical="center" wrapText="1"/>
    </xf>
    <xf numFmtId="0" fontId="7" fillId="7" borderId="0" xfId="0" applyFont="1" applyFill="1" applyBorder="1" applyAlignment="1">
      <alignment vertical="center"/>
    </xf>
    <xf numFmtId="0" fontId="0" fillId="9" borderId="0" xfId="0" applyFill="1" applyBorder="1" applyAlignment="1">
      <alignment horizontal="center" vertical="center" wrapText="1"/>
    </xf>
    <xf numFmtId="0" fontId="7" fillId="9" borderId="0" xfId="0" applyFont="1" applyFill="1" applyBorder="1" applyAlignment="1">
      <alignment vertical="center"/>
    </xf>
    <xf numFmtId="0" fontId="0" fillId="5" borderId="0" xfId="0" applyFill="1" applyBorder="1" applyAlignment="1">
      <alignment horizontal="center" vertical="center" wrapText="1"/>
    </xf>
    <xf numFmtId="0" fontId="7" fillId="5" borderId="0" xfId="0" applyFont="1" applyFill="1" applyBorder="1" applyAlignment="1">
      <alignment vertical="center"/>
    </xf>
    <xf numFmtId="0" fontId="0" fillId="12" borderId="0" xfId="0" applyFill="1" applyBorder="1" applyAlignment="1">
      <alignment horizontal="center" vertical="center" wrapText="1"/>
    </xf>
    <xf numFmtId="0" fontId="7" fillId="12" borderId="0" xfId="0" applyFont="1" applyFill="1" applyBorder="1" applyAlignment="1">
      <alignment vertical="center"/>
    </xf>
    <xf numFmtId="0" fontId="8" fillId="8" borderId="0" xfId="166" applyFill="1" applyBorder="1" applyAlignment="1">
      <alignment vertical="center" wrapText="1"/>
    </xf>
    <xf numFmtId="0" fontId="7" fillId="8" borderId="0" xfId="0" applyFont="1" applyFill="1" applyBorder="1" applyAlignment="1">
      <alignment vertical="center"/>
    </xf>
    <xf numFmtId="0" fontId="8" fillId="10" borderId="0" xfId="166" applyFill="1" applyBorder="1" applyAlignment="1">
      <alignment vertical="center" wrapText="1"/>
    </xf>
    <xf numFmtId="0" fontId="8" fillId="11" borderId="0" xfId="166" applyFill="1" applyBorder="1" applyAlignment="1">
      <alignment vertical="center" wrapText="1"/>
    </xf>
    <xf numFmtId="0" fontId="7" fillId="11" borderId="0" xfId="0" applyFont="1" applyFill="1" applyBorder="1" applyAlignment="1">
      <alignment vertical="center"/>
    </xf>
    <xf numFmtId="0" fontId="0" fillId="13" borderId="0" xfId="0" applyFill="1" applyBorder="1" applyAlignment="1">
      <alignment horizontal="center" vertical="center" wrapText="1"/>
    </xf>
    <xf numFmtId="0" fontId="7" fillId="13" borderId="0" xfId="0" applyFont="1" applyFill="1" applyBorder="1" applyAlignment="1">
      <alignment vertical="center"/>
    </xf>
    <xf numFmtId="0" fontId="11" fillId="13" borderId="0" xfId="0" applyFont="1" applyFill="1" applyBorder="1" applyAlignment="1">
      <alignment horizontal="center" vertical="center" wrapText="1"/>
    </xf>
    <xf numFmtId="164" fontId="0" fillId="6" borderId="0" xfId="1" applyFont="1" applyFill="1" applyBorder="1" applyAlignment="1">
      <alignment horizontal="right" vertical="center" wrapText="1" indent="1"/>
    </xf>
    <xf numFmtId="0" fontId="8" fillId="6" borderId="16" xfId="166" applyFill="1" applyBorder="1" applyAlignment="1">
      <alignment vertical="center"/>
    </xf>
    <xf numFmtId="0" fontId="0" fillId="14" borderId="0" xfId="0" applyFill="1" applyBorder="1"/>
    <xf numFmtId="0" fontId="0" fillId="14" borderId="17" xfId="0" applyFill="1" applyBorder="1"/>
    <xf numFmtId="0" fontId="8" fillId="6" borderId="0" xfId="166" applyFill="1" applyBorder="1" applyAlignment="1">
      <alignment vertical="center"/>
    </xf>
    <xf numFmtId="0" fontId="6" fillId="6" borderId="4" xfId="0" applyFont="1" applyFill="1" applyBorder="1" applyAlignment="1">
      <alignment horizontal="left" vertical="center" indent="1"/>
    </xf>
    <xf numFmtId="0" fontId="6" fillId="6" borderId="0" xfId="0" applyFont="1" applyFill="1" applyBorder="1" applyAlignment="1">
      <alignment horizontal="left" vertical="center" indent="1"/>
    </xf>
    <xf numFmtId="164" fontId="0" fillId="6" borderId="0" xfId="1" applyFont="1" applyFill="1" applyBorder="1" applyAlignment="1">
      <alignment horizontal="right" vertical="center" indent="1"/>
    </xf>
    <xf numFmtId="0" fontId="0" fillId="14" borderId="18" xfId="0" applyFill="1" applyBorder="1"/>
    <xf numFmtId="0" fontId="0" fillId="0" borderId="17" xfId="0" applyBorder="1"/>
    <xf numFmtId="164" fontId="8" fillId="6" borderId="0" xfId="166" applyNumberFormat="1" applyFill="1" applyBorder="1" applyAlignment="1">
      <alignment horizontal="right" vertical="center" indent="1"/>
    </xf>
    <xf numFmtId="0" fontId="8" fillId="6" borderId="16" xfId="166" applyFill="1" applyBorder="1" applyAlignment="1">
      <alignment horizontal="left" vertical="center"/>
    </xf>
    <xf numFmtId="0" fontId="0" fillId="0" borderId="18" xfId="0" applyBorder="1"/>
    <xf numFmtId="0" fontId="0" fillId="0" borderId="0" xfId="0" applyBorder="1"/>
    <xf numFmtId="164" fontId="0" fillId="7" borderId="0" xfId="1" applyFont="1" applyFill="1" applyBorder="1" applyAlignment="1">
      <alignment horizontal="right" vertical="center" wrapText="1" indent="1"/>
    </xf>
    <xf numFmtId="0" fontId="8" fillId="7" borderId="16" xfId="166" applyFill="1" applyBorder="1" applyAlignment="1">
      <alignment vertical="center" wrapText="1"/>
    </xf>
    <xf numFmtId="0" fontId="8" fillId="7" borderId="0" xfId="166" applyFill="1" applyBorder="1" applyAlignment="1">
      <alignment vertical="center" wrapText="1"/>
    </xf>
    <xf numFmtId="0" fontId="7" fillId="7" borderId="4" xfId="0" applyFont="1" applyFill="1" applyBorder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164" fontId="7" fillId="7" borderId="0" xfId="1" applyFont="1" applyFill="1" applyBorder="1" applyAlignment="1">
      <alignment horizontal="right" vertical="center" indent="1"/>
    </xf>
    <xf numFmtId="0" fontId="8" fillId="7" borderId="16" xfId="166" applyFill="1" applyBorder="1" applyAlignment="1">
      <alignment vertical="center"/>
    </xf>
    <xf numFmtId="164" fontId="8" fillId="7" borderId="0" xfId="1" applyFont="1" applyFill="1" applyBorder="1" applyAlignment="1">
      <alignment horizontal="right" vertical="center" indent="1"/>
    </xf>
    <xf numFmtId="164" fontId="0" fillId="9" borderId="0" xfId="1" applyFont="1" applyFill="1" applyBorder="1" applyAlignment="1">
      <alignment horizontal="right" vertical="center" wrapText="1" indent="1"/>
    </xf>
    <xf numFmtId="0" fontId="8" fillId="9" borderId="16" xfId="166" applyFill="1" applyBorder="1" applyAlignment="1">
      <alignment vertical="center" wrapText="1"/>
    </xf>
    <xf numFmtId="0" fontId="8" fillId="9" borderId="0" xfId="166" applyFill="1" applyBorder="1" applyAlignment="1">
      <alignment vertical="center" wrapText="1"/>
    </xf>
    <xf numFmtId="0" fontId="7" fillId="9" borderId="4" xfId="0" applyFont="1" applyFill="1" applyBorder="1" applyAlignment="1">
      <alignment horizontal="left" vertical="center" indent="1"/>
    </xf>
    <xf numFmtId="0" fontId="7" fillId="9" borderId="0" xfId="0" applyFont="1" applyFill="1" applyBorder="1" applyAlignment="1">
      <alignment horizontal="left" vertical="center" indent="1"/>
    </xf>
    <xf numFmtId="164" fontId="7" fillId="9" borderId="0" xfId="1" applyFont="1" applyFill="1" applyBorder="1" applyAlignment="1">
      <alignment horizontal="right" vertical="center" indent="1"/>
    </xf>
    <xf numFmtId="0" fontId="8" fillId="9" borderId="16" xfId="166" applyFill="1" applyBorder="1" applyAlignment="1">
      <alignment vertical="center"/>
    </xf>
    <xf numFmtId="0" fontId="8" fillId="9" borderId="18" xfId="166" applyFill="1" applyBorder="1" applyAlignment="1">
      <alignment horizontal="center" vertical="center" wrapText="1"/>
    </xf>
    <xf numFmtId="164" fontId="0" fillId="5" borderId="0" xfId="1" applyFont="1" applyFill="1" applyBorder="1" applyAlignment="1">
      <alignment horizontal="right" vertical="center" wrapText="1" indent="1"/>
    </xf>
    <xf numFmtId="0" fontId="8" fillId="5" borderId="16" xfId="166" applyFill="1" applyBorder="1" applyAlignment="1">
      <alignment vertical="center" wrapText="1"/>
    </xf>
    <xf numFmtId="0" fontId="8" fillId="5" borderId="0" xfId="166" applyFill="1" applyBorder="1" applyAlignment="1">
      <alignment vertical="center" wrapText="1"/>
    </xf>
    <xf numFmtId="0" fontId="7" fillId="5" borderId="4" xfId="0" applyFont="1" applyFill="1" applyBorder="1" applyAlignment="1">
      <alignment horizontal="left" vertical="center" indent="1"/>
    </xf>
    <xf numFmtId="0" fontId="7" fillId="5" borderId="0" xfId="0" applyFont="1" applyFill="1" applyBorder="1" applyAlignment="1">
      <alignment horizontal="left" vertical="center" indent="1"/>
    </xf>
    <xf numFmtId="164" fontId="7" fillId="5" borderId="0" xfId="1" applyFont="1" applyFill="1" applyBorder="1" applyAlignment="1">
      <alignment horizontal="right" vertical="center" indent="1"/>
    </xf>
    <xf numFmtId="0" fontId="8" fillId="5" borderId="16" xfId="166" applyFill="1" applyBorder="1" applyAlignment="1">
      <alignment vertical="center"/>
    </xf>
    <xf numFmtId="0" fontId="8" fillId="5" borderId="18" xfId="166" applyFill="1" applyBorder="1" applyAlignment="1">
      <alignment horizontal="center" vertical="center" wrapText="1"/>
    </xf>
    <xf numFmtId="164" fontId="0" fillId="12" borderId="0" xfId="1" applyFont="1" applyFill="1" applyBorder="1" applyAlignment="1">
      <alignment horizontal="right" vertical="center" wrapText="1" indent="1"/>
    </xf>
    <xf numFmtId="0" fontId="8" fillId="12" borderId="16" xfId="166" applyFill="1" applyBorder="1" applyAlignment="1">
      <alignment vertical="center" wrapText="1"/>
    </xf>
    <xf numFmtId="0" fontId="0" fillId="12" borderId="0" xfId="0" applyFill="1" applyBorder="1" applyAlignment="1">
      <alignment horizontal="right" vertical="center" wrapText="1" indent="1"/>
    </xf>
    <xf numFmtId="0" fontId="7" fillId="12" borderId="4" xfId="0" applyFont="1" applyFill="1" applyBorder="1" applyAlignment="1">
      <alignment horizontal="left" vertical="center" indent="1"/>
    </xf>
    <xf numFmtId="0" fontId="7" fillId="12" borderId="0" xfId="0" applyFont="1" applyFill="1" applyBorder="1" applyAlignment="1">
      <alignment horizontal="left" vertical="center" indent="1"/>
    </xf>
    <xf numFmtId="164" fontId="7" fillId="12" borderId="0" xfId="1" applyFont="1" applyFill="1" applyBorder="1" applyAlignment="1">
      <alignment horizontal="right" vertical="center" indent="1"/>
    </xf>
    <xf numFmtId="0" fontId="8" fillId="12" borderId="16" xfId="166" applyFill="1" applyBorder="1" applyAlignment="1">
      <alignment vertical="center"/>
    </xf>
    <xf numFmtId="0" fontId="10" fillId="3" borderId="18" xfId="0" applyFont="1" applyFill="1" applyBorder="1" applyAlignment="1">
      <alignment horizontal="center" vertical="center" wrapText="1"/>
    </xf>
    <xf numFmtId="0" fontId="8" fillId="12" borderId="18" xfId="166" applyFill="1" applyBorder="1" applyAlignment="1">
      <alignment horizontal="right" vertical="center" wrapText="1" indent="1"/>
    </xf>
    <xf numFmtId="164" fontId="0" fillId="8" borderId="0" xfId="1" applyFont="1" applyFill="1" applyBorder="1" applyAlignment="1">
      <alignment horizontal="right" vertical="center" wrapText="1" indent="1"/>
    </xf>
    <xf numFmtId="0" fontId="8" fillId="8" borderId="16" xfId="166" applyFill="1" applyBorder="1" applyAlignment="1">
      <alignment vertical="center" wrapText="1"/>
    </xf>
    <xf numFmtId="0" fontId="7" fillId="8" borderId="4" xfId="0" applyFont="1" applyFill="1" applyBorder="1" applyAlignment="1">
      <alignment horizontal="left" vertical="center" indent="1"/>
    </xf>
    <xf numFmtId="0" fontId="7" fillId="8" borderId="0" xfId="0" applyFont="1" applyFill="1" applyBorder="1" applyAlignment="1">
      <alignment horizontal="left" vertical="center" indent="1"/>
    </xf>
    <xf numFmtId="164" fontId="7" fillId="8" borderId="0" xfId="1" applyFont="1" applyFill="1" applyBorder="1" applyAlignment="1">
      <alignment horizontal="right" vertical="center" indent="1"/>
    </xf>
    <xf numFmtId="0" fontId="8" fillId="8" borderId="16" xfId="166" applyFill="1" applyBorder="1" applyAlignment="1">
      <alignment vertical="center"/>
    </xf>
    <xf numFmtId="164" fontId="8" fillId="8" borderId="18" xfId="1" applyFont="1" applyFill="1" applyBorder="1" applyAlignment="1">
      <alignment horizontal="right" vertical="center" wrapText="1" indent="1"/>
    </xf>
    <xf numFmtId="164" fontId="0" fillId="10" borderId="0" xfId="1" applyFont="1" applyFill="1" applyBorder="1" applyAlignment="1">
      <alignment horizontal="right" vertical="center" wrapText="1" indent="1"/>
    </xf>
    <xf numFmtId="0" fontId="8" fillId="10" borderId="16" xfId="166" applyFill="1" applyBorder="1" applyAlignment="1">
      <alignment vertical="center" wrapText="1"/>
    </xf>
    <xf numFmtId="0" fontId="0" fillId="10" borderId="0" xfId="0" applyFill="1" applyBorder="1" applyAlignment="1">
      <alignment horizontal="right" vertical="center" wrapText="1" indent="1"/>
    </xf>
    <xf numFmtId="164" fontId="0" fillId="11" borderId="0" xfId="1" applyFont="1" applyFill="1" applyBorder="1" applyAlignment="1">
      <alignment horizontal="right" vertical="center" wrapText="1" indent="1"/>
    </xf>
    <xf numFmtId="0" fontId="8" fillId="11" borderId="16" xfId="166" applyFill="1" applyBorder="1" applyAlignment="1">
      <alignment vertical="center" wrapText="1"/>
    </xf>
    <xf numFmtId="0" fontId="7" fillId="11" borderId="4" xfId="0" applyFont="1" applyFill="1" applyBorder="1" applyAlignment="1">
      <alignment horizontal="left" vertical="center" indent="1"/>
    </xf>
    <xf numFmtId="0" fontId="7" fillId="11" borderId="0" xfId="0" applyFont="1" applyFill="1" applyBorder="1" applyAlignment="1">
      <alignment horizontal="left" vertical="center" indent="1"/>
    </xf>
    <xf numFmtId="164" fontId="7" fillId="11" borderId="0" xfId="1" applyFont="1" applyFill="1" applyBorder="1" applyAlignment="1">
      <alignment horizontal="right" vertical="center" indent="1"/>
    </xf>
    <xf numFmtId="0" fontId="8" fillId="11" borderId="16" xfId="166" applyFill="1" applyBorder="1" applyAlignment="1">
      <alignment vertical="center"/>
    </xf>
    <xf numFmtId="164" fontId="8" fillId="11" borderId="18" xfId="1" applyFont="1" applyFill="1" applyBorder="1" applyAlignment="1">
      <alignment horizontal="right" vertical="center" wrapText="1" indent="1"/>
    </xf>
    <xf numFmtId="0" fontId="6" fillId="13" borderId="4" xfId="0" applyFont="1" applyFill="1" applyBorder="1" applyAlignment="1">
      <alignment horizontal="left" vertical="center" wrapText="1" indent="1"/>
    </xf>
    <xf numFmtId="0" fontId="6" fillId="13" borderId="0" xfId="0" applyFont="1" applyFill="1" applyBorder="1" applyAlignment="1">
      <alignment horizontal="left" vertical="center" wrapText="1" indent="1"/>
    </xf>
    <xf numFmtId="164" fontId="0" fillId="13" borderId="0" xfId="1" applyFont="1" applyFill="1" applyBorder="1" applyAlignment="1">
      <alignment horizontal="right" vertical="center" wrapText="1" indent="1"/>
    </xf>
    <xf numFmtId="0" fontId="8" fillId="13" borderId="18" xfId="166" applyFill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8" fillId="13" borderId="0" xfId="166" applyFill="1" applyBorder="1" applyAlignment="1">
      <alignment vertical="center" wrapText="1"/>
    </xf>
    <xf numFmtId="0" fontId="7" fillId="13" borderId="4" xfId="0" applyFont="1" applyFill="1" applyBorder="1" applyAlignment="1">
      <alignment horizontal="left" vertical="center" indent="1"/>
    </xf>
    <xf numFmtId="0" fontId="7" fillId="13" borderId="0" xfId="0" applyFont="1" applyFill="1" applyBorder="1" applyAlignment="1">
      <alignment horizontal="left" vertical="center" indent="1"/>
    </xf>
    <xf numFmtId="164" fontId="8" fillId="13" borderId="18" xfId="1" applyFont="1" applyFill="1" applyBorder="1" applyAlignment="1">
      <alignment horizontal="right" vertical="center" wrapText="1" indent="1"/>
    </xf>
    <xf numFmtId="164" fontId="8" fillId="13" borderId="0" xfId="1" applyFont="1" applyFill="1" applyBorder="1" applyAlignment="1">
      <alignment horizontal="right" vertical="center" wrapText="1" indent="1"/>
    </xf>
    <xf numFmtId="0" fontId="8" fillId="13" borderId="16" xfId="166" applyFill="1" applyBorder="1" applyAlignment="1">
      <alignment vertical="center"/>
    </xf>
    <xf numFmtId="0" fontId="0" fillId="14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14" borderId="18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14" borderId="0" xfId="0" applyFill="1" applyBorder="1" applyAlignment="1">
      <alignment vertical="center"/>
    </xf>
    <xf numFmtId="0" fontId="7" fillId="13" borderId="4" xfId="0" applyFont="1" applyFill="1" applyBorder="1" applyAlignment="1">
      <alignment horizontal="left" vertical="center" indent="2"/>
    </xf>
    <xf numFmtId="0" fontId="7" fillId="13" borderId="0" xfId="0" applyFont="1" applyFill="1" applyBorder="1" applyAlignment="1">
      <alignment horizontal="left" vertical="center" indent="2"/>
    </xf>
    <xf numFmtId="164" fontId="8" fillId="13" borderId="18" xfId="1" applyFont="1" applyFill="1" applyBorder="1" applyAlignment="1">
      <alignment horizontal="right" vertical="center" wrapText="1" indent="2"/>
    </xf>
    <xf numFmtId="164" fontId="8" fillId="13" borderId="0" xfId="1" applyFont="1" applyFill="1" applyBorder="1" applyAlignment="1">
      <alignment horizontal="right" vertical="center" wrapText="1" indent="2"/>
    </xf>
    <xf numFmtId="0" fontId="8" fillId="13" borderId="18" xfId="166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 indent="1"/>
    </xf>
    <xf numFmtId="164" fontId="11" fillId="6" borderId="1" xfId="1" applyFont="1" applyFill="1" applyBorder="1" applyAlignment="1">
      <alignment horizontal="right" vertical="center" wrapText="1" indent="1"/>
    </xf>
    <xf numFmtId="0" fontId="11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 indent="1"/>
    </xf>
    <xf numFmtId="164" fontId="10" fillId="3" borderId="1" xfId="1" applyFont="1" applyFill="1" applyBorder="1" applyAlignment="1">
      <alignment horizontal="right" vertical="center" wrapText="1" inden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0" fillId="4" borderId="1" xfId="0" applyFont="1" applyFill="1" applyBorder="1" applyAlignment="1">
      <alignment horizontal="left" vertical="center" wrapText="1" indent="1"/>
    </xf>
    <xf numFmtId="164" fontId="10" fillId="4" borderId="1" xfId="1" applyFont="1" applyFill="1" applyBorder="1" applyAlignment="1">
      <alignment horizontal="right" vertical="center" wrapText="1" indent="1"/>
    </xf>
    <xf numFmtId="0" fontId="10" fillId="4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6" fillId="3" borderId="1" xfId="0" applyFont="1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 indent="1"/>
    </xf>
    <xf numFmtId="0" fontId="0" fillId="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/>
    </xf>
    <xf numFmtId="0" fontId="10" fillId="3" borderId="1" xfId="0" applyFont="1" applyFill="1" applyBorder="1" applyAlignment="1">
      <alignment horizontal="left" vertical="center" wrapText="1" indent="2"/>
    </xf>
    <xf numFmtId="164" fontId="10" fillId="3" borderId="1" xfId="1" applyFont="1" applyFill="1" applyBorder="1" applyAlignment="1">
      <alignment horizontal="right" vertical="center" wrapText="1" indent="2"/>
    </xf>
    <xf numFmtId="0" fontId="10" fillId="4" borderId="1" xfId="0" applyFont="1" applyFill="1" applyBorder="1" applyAlignment="1">
      <alignment horizontal="left" vertical="center" wrapText="1" indent="2"/>
    </xf>
    <xf numFmtId="164" fontId="10" fillId="4" borderId="1" xfId="1" applyFont="1" applyFill="1" applyBorder="1" applyAlignment="1">
      <alignment horizontal="right" vertical="center" wrapText="1" indent="2"/>
    </xf>
    <xf numFmtId="0" fontId="5" fillId="15" borderId="0" xfId="0" applyFont="1" applyFill="1"/>
    <xf numFmtId="164" fontId="11" fillId="6" borderId="19" xfId="1" applyFont="1" applyFill="1" applyBorder="1" applyAlignment="1">
      <alignment horizontal="right" vertical="center" wrapText="1" indent="1"/>
    </xf>
  </cellXfs>
  <cellStyles count="16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5" builtinId="9" hidden="1"/>
    <cellStyle name="Followed Hyperlink" xfId="167" builtinId="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4" builtinId="8" hidden="1"/>
    <cellStyle name="Hyperlink" xfId="166" builtinId="8" customBuiltin="1"/>
    <cellStyle name="Komma 2" xfId="162" xr:uid="{00000000-0005-0000-0000-0000A3000000}"/>
    <cellStyle name="Komma 3" xfId="163" xr:uid="{00000000-0005-0000-0000-0000A4000000}"/>
    <cellStyle name="Normal" xfId="0" builtinId="0" customBuiltin="1"/>
  </cellStyles>
  <dxfs count="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tillium Web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tillium Web"/>
        <scheme val="none"/>
      </font>
      <alignment horizontal="general" vertical="center" textRotation="0" wrapText="0" indent="0" justifyLastLine="0" shrinkToFit="0" readingOrder="0"/>
      <border diagonalUp="0" diagonalDown="0">
        <left style="thick">
          <color rgb="FFFFFFFF"/>
        </left>
        <right/>
        <top style="thin">
          <color theme="4" tint="0.39997558519241921"/>
        </top>
        <bottom/>
        <vertical/>
        <horizontal/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Titillium Web"/>
        <scheme val="none"/>
      </font>
      <numFmt numFmtId="164" formatCode="_ * #,##0.00_ ;_ * \-#,##0.00_ ;_ * &quot;-&quot;??_ ;_ @_ "/>
      <fill>
        <patternFill patternType="solid">
          <fgColor indexed="64"/>
          <bgColor rgb="FF009ADF"/>
        </patternFill>
      </fill>
      <alignment horizontal="righ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3F4E55"/>
      <color rgb="FF0095AD"/>
      <color rgb="FF8A959C"/>
      <color rgb="FF8A4091"/>
      <color rgb="FFEF7D00"/>
      <color rgb="FF71C709"/>
      <color rgb="FFE30613"/>
      <color rgb="FFFBBA00"/>
      <color rgb="FF009ADF"/>
      <color rgb="FF007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EDC69B-03E8-4D48-9452-8BBDCC4554CA}" name="Table3" displayName="Table3" ref="A1:T863" totalsRowShown="0" headerRowDxfId="4" headerRowBorderDxfId="3" headerRowCellStyle="Comma">
  <autoFilter ref="A1:T863" xr:uid="{1DEDC69B-03E8-4D48-9452-8BBDCC4554CA}"/>
  <tableColumns count="20">
    <tableColumn id="1" xr3:uid="{AF439FCC-EFF1-44B6-A53F-39B448171AF5}" name="Article nr."/>
    <tableColumn id="2" xr3:uid="{1DD094FF-F445-4BDD-BFC2-1D916E528A4B}" name="Name"/>
    <tableColumn id="3" xr3:uid="{AC5D3103-1E9B-4A1C-B329-347A02FD496A}" name="Gross price, EUR"/>
    <tableColumn id="4" xr3:uid="{62C93AB3-E97C-4A5B-BFD5-CBBE324BC851}" name="Quantity"/>
    <tableColumn id="5" xr3:uid="{B42E36CE-82BA-4A0E-BED0-189142E99A79}" name="Unit"/>
    <tableColumn id="6" xr3:uid="{723510DB-75F3-4411-9325-4EDCD7B76C68}" name="Thickness"/>
    <tableColumn id="7" xr3:uid="{0FE7B326-4403-4209-9BD3-0698030D2BAD}" name="Width"/>
    <tableColumn id="8" xr3:uid="{14B72AFE-465E-4AF5-8099-7A4929673DDD}" name="Length"/>
    <tableColumn id="19" xr3:uid="{396B6820-96E6-4D15-BE2C-BE7B0CDBCACE}" name="Group"/>
    <tableColumn id="9" xr3:uid="{4DCBB06A-C96E-4B7E-9ED2-B92BD2920FFD}" name="Material"/>
    <tableColumn id="12" xr3:uid="{0199C2CB-DAD2-46FD-98C8-01A467558814}" name="Min °C"/>
    <tableColumn id="13" xr3:uid="{5E5790CE-1986-4EBD-B798-BB0721A7ACFD}" name="Max °C"/>
    <tableColumn id="14" xr3:uid="{075C68E0-7666-4CE7-BBA0-137422283838}" name="Colour" dataDxfId="2"/>
    <tableColumn id="15" xr3:uid="{F51DC546-9E85-4D8A-B384-929EAAE3700F}" name="Hardness" dataDxfId="1"/>
    <tableColumn id="16" xr3:uid="{97AAA4CD-DB77-4D16-9CB8-E75F63D4AA46}" name="Insertion"/>
    <tableColumn id="17" xr3:uid="{1269C8AB-F65D-46E3-876B-EC4FAA2DF43A}" name="Insertion type"/>
    <tableColumn id="18" xr3:uid="{89E6C32B-0DDB-4217-B67F-BFCB95F969E5}" name="Nett price, EUR">
      <calculatedColumnFormula>C2*((100-Discounts!$B$74)/100)</calculatedColumnFormula>
    </tableColumn>
    <tableColumn id="21" xr3:uid="{398A0EAA-74B5-4F82-A48F-C1BE6E683D44}" name="Catalog" dataDxfId="0">
      <calculatedColumnFormula>IF(ISNUMBER(Table3[[#This Row],[Thickness]]), "Zenith", "")</calculatedColumnFormula>
    </tableColumn>
    <tableColumn id="10" xr3:uid="{E3574540-E992-41B2-9F74-82A377F652B1}" name="Tensile strength, Mpa"/>
    <tableColumn id="11" xr3:uid="{F82148DF-8EE3-42A1-9638-52D1D81FDB53}" name="Elongation,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enitheurope.com/en/products/nrsbr-rubber-sheets/black-miami-flat-sheets" TargetMode="External"/><Relationship Id="rId13" Type="http://schemas.openxmlformats.org/officeDocument/2006/relationships/hyperlink" Target="https://www.zenitheurope.com/en/products/nrsbr-rubber-sheets/black-miami-50" TargetMode="External"/><Relationship Id="rId3" Type="http://schemas.openxmlformats.org/officeDocument/2006/relationships/hyperlink" Target="https://www.zenitheurope.com/sites/default/files/assets/datasheets/SX70150.pdf" TargetMode="External"/><Relationship Id="rId7" Type="http://schemas.openxmlformats.org/officeDocument/2006/relationships/hyperlink" Target="https://www.zenitheurope.com/en/products/nrsbr-rubber-sheets/black-miami-insertions" TargetMode="External"/><Relationship Id="rId12" Type="http://schemas.openxmlformats.org/officeDocument/2006/relationships/hyperlink" Target="https://www.zenitheurope.com/sites/default/files/assets/datasheets/SX50150.pdf" TargetMode="External"/><Relationship Id="rId2" Type="http://schemas.openxmlformats.org/officeDocument/2006/relationships/hyperlink" Target="https://www.zenitheurope.com/sites/default/files/assets/datasheets/SX70150.pdf" TargetMode="External"/><Relationship Id="rId1" Type="http://schemas.openxmlformats.org/officeDocument/2006/relationships/hyperlink" Target="https://www.zenitheurope.com/sites/default/files/assets/datasheets/SX70150.pdf" TargetMode="External"/><Relationship Id="rId6" Type="http://schemas.openxmlformats.org/officeDocument/2006/relationships/hyperlink" Target="https://www.zenitheurope.com/en/products?f%5B0%5D=category%3A2" TargetMode="External"/><Relationship Id="rId11" Type="http://schemas.openxmlformats.org/officeDocument/2006/relationships/hyperlink" Target="https://www.zenitheurope.com/en/products/nrsbr-rubber-sheets/zenstar" TargetMode="External"/><Relationship Id="rId5" Type="http://schemas.openxmlformats.org/officeDocument/2006/relationships/hyperlink" Target="https://www.zenitheurope.com/en/products/nrsbr-rubber-sheets/black-miami" TargetMode="External"/><Relationship Id="rId10" Type="http://schemas.openxmlformats.org/officeDocument/2006/relationships/hyperlink" Target="https://www.zenitheurope.com/sites/default/files/assets/datasheets/SB%2065130.pdf" TargetMode="External"/><Relationship Id="rId4" Type="http://schemas.openxmlformats.org/officeDocument/2006/relationships/hyperlink" Target="https://www.zenitheurope.com/sites/default/files/assets/datasheets/SB%2065130.pdf" TargetMode="External"/><Relationship Id="rId9" Type="http://schemas.openxmlformats.org/officeDocument/2006/relationships/hyperlink" Target="https://www.zenitheurope.com/en/products/nrsbr-rubber-sheets/zenstar" TargetMode="External"/><Relationship Id="rId1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enitheurope.com/sites/default/files/assets/datasheets/NB%2070140%20%2830%25%29.pdf" TargetMode="External"/><Relationship Id="rId13" Type="http://schemas.openxmlformats.org/officeDocument/2006/relationships/hyperlink" Target="https://www.zenitheurope.com/en/products/nbr-rubber-sheets/satyr-premium-80" TargetMode="External"/><Relationship Id="rId3" Type="http://schemas.openxmlformats.org/officeDocument/2006/relationships/hyperlink" Target="https://www.zenitheurope.com/en/products/nbr-rubber-sheets/satyr-eco" TargetMode="External"/><Relationship Id="rId7" Type="http://schemas.openxmlformats.org/officeDocument/2006/relationships/hyperlink" Target="https://www.zenitheurope.com/en/products/nbr-rubber-sheets/satyr-eco-flat-sheets" TargetMode="External"/><Relationship Id="rId12" Type="http://schemas.openxmlformats.org/officeDocument/2006/relationships/hyperlink" Target="https://www.zenitheurope.com/sites/default/files/assets/datasheets/NB80130%20%28100%25%29.pdf" TargetMode="External"/><Relationship Id="rId2" Type="http://schemas.openxmlformats.org/officeDocument/2006/relationships/hyperlink" Target="https://www.zenitheurope.com/sites/default/files/assets/datasheets/NB%207010_1.pdf" TargetMode="External"/><Relationship Id="rId16" Type="http://schemas.openxmlformats.org/officeDocument/2006/relationships/printerSettings" Target="../printerSettings/printerSettings3.bin"/><Relationship Id="rId1" Type="http://schemas.openxmlformats.org/officeDocument/2006/relationships/hyperlink" Target="https://www.zenitheurope.com/en/products?f%5B0%5D=category%3A2&amp;f%5B1%5D=category%3A3" TargetMode="External"/><Relationship Id="rId6" Type="http://schemas.openxmlformats.org/officeDocument/2006/relationships/hyperlink" Target="https://www.zenitheurope.com/sites/default/files/assets/datasheets/NB%207010_1.pdf" TargetMode="External"/><Relationship Id="rId11" Type="http://schemas.openxmlformats.org/officeDocument/2006/relationships/hyperlink" Target="https://www.zenitheurope.com/en/products/nbr-rubber-sheets/satyr-premium" TargetMode="External"/><Relationship Id="rId5" Type="http://schemas.openxmlformats.org/officeDocument/2006/relationships/hyperlink" Target="https://www.zenitheurope.com/en/products/nbr-rubber-sheets/satyr-eco-insertions" TargetMode="External"/><Relationship Id="rId15" Type="http://schemas.openxmlformats.org/officeDocument/2006/relationships/hyperlink" Target="https://zenitheurope.com/en/products/nbr-rubber-sheets/satyr-50" TargetMode="External"/><Relationship Id="rId10" Type="http://schemas.openxmlformats.org/officeDocument/2006/relationships/hyperlink" Target="https://www.zenitheurope.com/sites/default/files/assets/datasheets/NB%2065130%20%28100%20%25%29.pdf" TargetMode="External"/><Relationship Id="rId4" Type="http://schemas.openxmlformats.org/officeDocument/2006/relationships/hyperlink" Target="https://www.zenitheurope.com/sites/default/files/assets/datasheets/NB%207010_1.pdf" TargetMode="External"/><Relationship Id="rId9" Type="http://schemas.openxmlformats.org/officeDocument/2006/relationships/hyperlink" Target="https://www.zenitheurope.com/en/products/nbr-rubber-sheets/satyr-medium" TargetMode="External"/><Relationship Id="rId14" Type="http://schemas.openxmlformats.org/officeDocument/2006/relationships/hyperlink" Target="https://zenitheurope.com/sites/default/files/assets/datasheets/NB5010.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enitheurope.com/sites/default/files/assets/datasheets/EP%2065135%20%2830%20%25%29.pdf" TargetMode="External"/><Relationship Id="rId13" Type="http://schemas.openxmlformats.org/officeDocument/2006/relationships/hyperlink" Target="https://www.zenitheurope.com/en/products/epdm-rubber-sheets/manticore-50" TargetMode="External"/><Relationship Id="rId18" Type="http://schemas.openxmlformats.org/officeDocument/2006/relationships/printerSettings" Target="../printerSettings/printerSettings4.bin"/><Relationship Id="rId3" Type="http://schemas.openxmlformats.org/officeDocument/2006/relationships/hyperlink" Target="https://www.zenitheurope.com/en/products/epdm-rubber-sheets/manticore-eco" TargetMode="External"/><Relationship Id="rId7" Type="http://schemas.openxmlformats.org/officeDocument/2006/relationships/hyperlink" Target="https://www.zenitheurope.com/en/products/epdm-rubber-sheets/manticore-eco-flat-sheets" TargetMode="External"/><Relationship Id="rId12" Type="http://schemas.openxmlformats.org/officeDocument/2006/relationships/hyperlink" Target="https://www.zenitheurope.com/sites/default/files/assets/datasheets/EP%205010.pdf" TargetMode="External"/><Relationship Id="rId17" Type="http://schemas.openxmlformats.org/officeDocument/2006/relationships/hyperlink" Target="https://www.zenitheurope.com/en/products/epdm-rubber-sheets/manticore-peroxid" TargetMode="External"/><Relationship Id="rId2" Type="http://schemas.openxmlformats.org/officeDocument/2006/relationships/hyperlink" Target="https://www.zenitheurope.com/sites/default/files/assets/datasheets/EP%207010_1.pdf" TargetMode="External"/><Relationship Id="rId16" Type="http://schemas.openxmlformats.org/officeDocument/2006/relationships/hyperlink" Target="https://www.zenitheurope.com/sites/default/files/assets/datasheets/EP%2070122%20PC_0.pdf" TargetMode="External"/><Relationship Id="rId1" Type="http://schemas.openxmlformats.org/officeDocument/2006/relationships/hyperlink" Target="https://www.zenitheurope.com/en/products?f%5B0%5D=category%3A2&amp;f%5B1%5D=category%3A3" TargetMode="External"/><Relationship Id="rId6" Type="http://schemas.openxmlformats.org/officeDocument/2006/relationships/hyperlink" Target="https://www.zenitheurope.com/sites/default/files/assets/datasheets/EP%207010_1.pdf" TargetMode="External"/><Relationship Id="rId11" Type="http://schemas.openxmlformats.org/officeDocument/2006/relationships/hyperlink" Target="https://www.zenitheurope.com/en/products/epdm-rubber-sheets/manticore-premium" TargetMode="External"/><Relationship Id="rId5" Type="http://schemas.openxmlformats.org/officeDocument/2006/relationships/hyperlink" Target="https://www.zenitheurope.com/en/products/epdm-rubber-sheets/manticore-eco-insertions" TargetMode="External"/><Relationship Id="rId15" Type="http://schemas.openxmlformats.org/officeDocument/2006/relationships/hyperlink" Target="https://www.zenitheurope.com/en/products/epdm-rubber-sheets/manticore-aqua" TargetMode="External"/><Relationship Id="rId10" Type="http://schemas.openxmlformats.org/officeDocument/2006/relationships/hyperlink" Target="https://www.zenitheurope.com/sites/default/files/assets/datasheets/EP%2065120.pdf" TargetMode="External"/><Relationship Id="rId4" Type="http://schemas.openxmlformats.org/officeDocument/2006/relationships/hyperlink" Target="https://www.zenitheurope.com/sites/default/files/assets/datasheets/EP%207010_1.pdf" TargetMode="External"/><Relationship Id="rId9" Type="http://schemas.openxmlformats.org/officeDocument/2006/relationships/hyperlink" Target="https://www.zenitheurope.com/en/products/epdm-rubber-sheets/manticore-medium" TargetMode="External"/><Relationship Id="rId14" Type="http://schemas.openxmlformats.org/officeDocument/2006/relationships/hyperlink" Target="https://www.zenitheurope.com/sites/default/files/assets/datasheets/EP%2070110%20KTW.pd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enitheurope.com/sites/default/files/assets/datasheets/NE%2070140%20%2830%25%29.pdf" TargetMode="External"/><Relationship Id="rId13" Type="http://schemas.openxmlformats.org/officeDocument/2006/relationships/hyperlink" Target="https://www.zenitheurope.com/en/products/cr-rubber-sheets/wendigo-50" TargetMode="External"/><Relationship Id="rId3" Type="http://schemas.openxmlformats.org/officeDocument/2006/relationships/hyperlink" Target="https://www.zenitheurope.com/en/products/nbr-rubber-sheets/satyr-eco" TargetMode="External"/><Relationship Id="rId7" Type="http://schemas.openxmlformats.org/officeDocument/2006/relationships/hyperlink" Target="https://www.zenitheurope.com/en/products/nbr-rubber-sheets/satyr-eco-flat-sheets" TargetMode="External"/><Relationship Id="rId12" Type="http://schemas.openxmlformats.org/officeDocument/2006/relationships/hyperlink" Target="https://www.zenitheurope.com/sites/default/files/assets/datasheets/CR%205010.pdf" TargetMode="External"/><Relationship Id="rId2" Type="http://schemas.openxmlformats.org/officeDocument/2006/relationships/hyperlink" Target="https://www.zenitheurope.com/sites/default/files/assets/datasheets/CR%207010_2.pdf" TargetMode="External"/><Relationship Id="rId1" Type="http://schemas.openxmlformats.org/officeDocument/2006/relationships/hyperlink" Target="https://www.zenitheurope.com/en/products?f%5B0%5D=category%3A2&amp;f%5B1%5D=category%3A3" TargetMode="External"/><Relationship Id="rId6" Type="http://schemas.openxmlformats.org/officeDocument/2006/relationships/hyperlink" Target="https://www.zenitheurope.com/sites/default/files/assets/datasheets/CR%207010_2.pdf" TargetMode="External"/><Relationship Id="rId11" Type="http://schemas.openxmlformats.org/officeDocument/2006/relationships/hyperlink" Target="https://www.zenitheurope.com/en/products/cr-rubber-sheets/wendigo-premium" TargetMode="External"/><Relationship Id="rId5" Type="http://schemas.openxmlformats.org/officeDocument/2006/relationships/hyperlink" Target="https://www.zenitheurope.com/en/products/nbr-rubber-sheets/satyr-eco-insertions" TargetMode="External"/><Relationship Id="rId10" Type="http://schemas.openxmlformats.org/officeDocument/2006/relationships/hyperlink" Target="https://www.zenitheurope.com/sites/default/files/assets/datasheets/NE%2065140%20%28100%20%25%29.pdf" TargetMode="External"/><Relationship Id="rId4" Type="http://schemas.openxmlformats.org/officeDocument/2006/relationships/hyperlink" Target="https://www.zenitheurope.com/sites/default/files/assets/datasheets/CR%207010_2.pdf" TargetMode="External"/><Relationship Id="rId9" Type="http://schemas.openxmlformats.org/officeDocument/2006/relationships/hyperlink" Target="https://www.zenitheurope.com/en/products/cr-rubber-sheets/wendigo-medium" TargetMode="External"/><Relationship Id="rId1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enitheurope.com/sites/default/files/assets/datasheets/AB%2040110%20BLACK.pdf" TargetMode="External"/><Relationship Id="rId13" Type="http://schemas.openxmlformats.org/officeDocument/2006/relationships/hyperlink" Target="https://www.zenitheurope.com/en/products/para-rubber-sheets/red-dragoon" TargetMode="External"/><Relationship Id="rId3" Type="http://schemas.openxmlformats.org/officeDocument/2006/relationships/hyperlink" Target="https://www.zenitheurope.com/en/products/para-rubber-sheets/typhon-beige" TargetMode="External"/><Relationship Id="rId7" Type="http://schemas.openxmlformats.org/officeDocument/2006/relationships/hyperlink" Target="https://www.zenitheurope.com/en/products/para-rubber-sheets/centaur-red" TargetMode="External"/><Relationship Id="rId12" Type="http://schemas.openxmlformats.org/officeDocument/2006/relationships/hyperlink" Target="https://www.zenitheurope.com/sites/default/files/assets/datasheets/ABRA%20SUPER%2040%20RED_0.pdf" TargetMode="External"/><Relationship Id="rId17" Type="http://schemas.openxmlformats.org/officeDocument/2006/relationships/printerSettings" Target="../printerSettings/printerSettings6.bin"/><Relationship Id="rId2" Type="http://schemas.openxmlformats.org/officeDocument/2006/relationships/hyperlink" Target="https://www.zenitheurope.com/sites/default/files/assets/datasheets/AB%2045110%20BEIGE.pdf" TargetMode="External"/><Relationship Id="rId16" Type="http://schemas.openxmlformats.org/officeDocument/2006/relationships/hyperlink" Target="https://zenitheurope.com/en/products/mining/centaur-black" TargetMode="External"/><Relationship Id="rId1" Type="http://schemas.openxmlformats.org/officeDocument/2006/relationships/hyperlink" Target="https://www.zenitheurope.com/en/products?f%5B0%5D=category%3A18" TargetMode="External"/><Relationship Id="rId6" Type="http://schemas.openxmlformats.org/officeDocument/2006/relationships/hyperlink" Target="https://www.zenitheurope.com/sites/default/files/assets/datasheets/AB%2045110%20RED.pdf" TargetMode="External"/><Relationship Id="rId11" Type="http://schemas.openxmlformats.org/officeDocument/2006/relationships/hyperlink" Target="https://www.zenitheurope.com/en/products/para-rubber-sheets/centaur-black-40" TargetMode="External"/><Relationship Id="rId5" Type="http://schemas.openxmlformats.org/officeDocument/2006/relationships/hyperlink" Target="https://www.zenitheurope.com/en/products/para-rubber-sheets/typhon-grey" TargetMode="External"/><Relationship Id="rId15" Type="http://schemas.openxmlformats.org/officeDocument/2006/relationships/hyperlink" Target="https://www.zenitheurope.com/en/products/para-rubber-sheets/typhon-dustsealing" TargetMode="External"/><Relationship Id="rId10" Type="http://schemas.openxmlformats.org/officeDocument/2006/relationships/hyperlink" Target="https://www.zenitheurope.com/sites/default/files/assets/datasheets/AB%2060117.pdf" TargetMode="External"/><Relationship Id="rId4" Type="http://schemas.openxmlformats.org/officeDocument/2006/relationships/hyperlink" Target="https://www.zenitheurope.com/sites/default/files/assets/datasheets/AB%2045110%20GREY.pdf" TargetMode="External"/><Relationship Id="rId9" Type="http://schemas.openxmlformats.org/officeDocument/2006/relationships/hyperlink" Target="https://www.zenitheurope.com/en/products/para-rubber-sheets/centaur-black-40" TargetMode="External"/><Relationship Id="rId14" Type="http://schemas.openxmlformats.org/officeDocument/2006/relationships/hyperlink" Target="https://www.zenitheurope.com/sites/default/files/assets/datasheets/AB40100SP.pdf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enitheurope.com/sites/default/files/assets/datasheets/NE%2065145%20FG_0.pdf" TargetMode="External"/><Relationship Id="rId13" Type="http://schemas.openxmlformats.org/officeDocument/2006/relationships/hyperlink" Target="https://www.zenitheurope.com/en/products/food-grade-vmq-silicone/viking-blue" TargetMode="External"/><Relationship Id="rId18" Type="http://schemas.openxmlformats.org/officeDocument/2006/relationships/hyperlink" Target="https://www.zenitheurope.com/sites/default/files/assets/datasheets/SI%2040120.pdf" TargetMode="External"/><Relationship Id="rId3" Type="http://schemas.openxmlformats.org/officeDocument/2006/relationships/hyperlink" Target="https://www.zenitheurope.com/en/products/food-grade-vmq-silicone/pegasus-sbr" TargetMode="External"/><Relationship Id="rId7" Type="http://schemas.openxmlformats.org/officeDocument/2006/relationships/hyperlink" Target="https://www.zenitheurope.com/en/products/food-grade-vmq-silicone/pegasus-epdm" TargetMode="External"/><Relationship Id="rId12" Type="http://schemas.openxmlformats.org/officeDocument/2006/relationships/hyperlink" Target="https://www.zenitheurope.com/sites/default/files/assets/datasheets/NE%2065145%20FG_0.pdf" TargetMode="External"/><Relationship Id="rId17" Type="http://schemas.openxmlformats.org/officeDocument/2006/relationships/hyperlink" Target="https://www.zenitheurope.com/en/products/food-grade-vmq-silicone/viking-white" TargetMode="External"/><Relationship Id="rId2" Type="http://schemas.openxmlformats.org/officeDocument/2006/relationships/hyperlink" Target="https://www.zenitheurope.com/sites/default/files/assets/datasheets/SB%2060150F.pdf" TargetMode="External"/><Relationship Id="rId16" Type="http://schemas.openxmlformats.org/officeDocument/2006/relationships/hyperlink" Target="https://www.zenitheurope.com/sites/default/files/assets/datasheets/SI%2060120%20F_6.pdf" TargetMode="External"/><Relationship Id="rId20" Type="http://schemas.openxmlformats.org/officeDocument/2006/relationships/printerSettings" Target="../printerSettings/printerSettings7.bin"/><Relationship Id="rId1" Type="http://schemas.openxmlformats.org/officeDocument/2006/relationships/hyperlink" Target="https://www.zenitheurope.com/en/products?f%5B0%5D=category%3A19" TargetMode="External"/><Relationship Id="rId6" Type="http://schemas.openxmlformats.org/officeDocument/2006/relationships/hyperlink" Target="https://www.zenitheurope.com/sites/default/files/assets/datasheets/EP60130F.pdf" TargetMode="External"/><Relationship Id="rId11" Type="http://schemas.openxmlformats.org/officeDocument/2006/relationships/hyperlink" Target="https://www.zenitheurope.com/en/products/food-grade-vmq-silicone/viking-translucent" TargetMode="External"/><Relationship Id="rId5" Type="http://schemas.openxmlformats.org/officeDocument/2006/relationships/hyperlink" Target="https://www.zenitheurope.com/en/products/food-grade-vmq-silicone/pegasus-nbr" TargetMode="External"/><Relationship Id="rId15" Type="http://schemas.openxmlformats.org/officeDocument/2006/relationships/hyperlink" Target="https://www.zenitheurope.com/en/products/food-grahttps:/www.zenitheurope.com/en/products/food-grade-vmq-silicone/viking-brick-redde-vmq-silicone/viking-translucent" TargetMode="External"/><Relationship Id="rId10" Type="http://schemas.openxmlformats.org/officeDocument/2006/relationships/hyperlink" Target="https://www.zenitheurope.com/sites/default/files/assets/datasheets/SI%2060120%20F_6.pdf" TargetMode="External"/><Relationship Id="rId19" Type="http://schemas.openxmlformats.org/officeDocument/2006/relationships/hyperlink" Target="https://www.zenitheurope.com/en/products/food-grade-vmq-silicone/viking-translucent-40" TargetMode="External"/><Relationship Id="rId4" Type="http://schemas.openxmlformats.org/officeDocument/2006/relationships/hyperlink" Target="https://www.zenitheurope.com/sites/default/files/assets/datasheets/NB%2060140F.pdf" TargetMode="External"/><Relationship Id="rId9" Type="http://schemas.openxmlformats.org/officeDocument/2006/relationships/hyperlink" Target="https://www.zenitheurope.com/en/products/food-grade-vmq-silicone/pegasus-cr" TargetMode="External"/><Relationship Id="rId14" Type="http://schemas.openxmlformats.org/officeDocument/2006/relationships/hyperlink" Target="https://www.zenitheurope.com/sites/default/files/assets/datasheets/SI%2060120%20F_6.pdf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enitheurope.com/en/products/fkm-rubber-sheets/karibu-fkm" TargetMode="External"/><Relationship Id="rId2" Type="http://schemas.openxmlformats.org/officeDocument/2006/relationships/hyperlink" Target="https://www.zenitheurope.com/sites/default/files/assets/datasheets/FPG%2072190%20G.pdf" TargetMode="External"/><Relationship Id="rId1" Type="http://schemas.openxmlformats.org/officeDocument/2006/relationships/hyperlink" Target="https://www.zenitheurope.com/en/products?f%5B0%5D=category%3A19" TargetMode="External"/><Relationship Id="rId4" Type="http://schemas.openxmlformats.org/officeDocument/2006/relationships/hyperlink" Target="https://www.zenitheurope.com/en/products/fkm-rubber-sheets/karibu-fk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enitheurope.com/sites/default/files/assets/datasheets/IR%2060120_0.pdf" TargetMode="External"/><Relationship Id="rId3" Type="http://schemas.openxmlformats.org/officeDocument/2006/relationships/hyperlink" Target="https://www.zenitheurope.com/en/products/various/kabira-neobenzid" TargetMode="External"/><Relationship Id="rId7" Type="http://schemas.openxmlformats.org/officeDocument/2006/relationships/hyperlink" Target="https://www.zenitheurope.com/en/products/various/rama-butyl" TargetMode="External"/><Relationship Id="rId2" Type="http://schemas.openxmlformats.org/officeDocument/2006/relationships/hyperlink" Target="https://www.zenitheurope.com/sites/default/files/assets/datasheets/NB%2065145%20G_0.pdf" TargetMode="External"/><Relationship Id="rId1" Type="http://schemas.openxmlformats.org/officeDocument/2006/relationships/hyperlink" Target="https://www.zenitheurope.com/en/products?f%5B0%5D=category%3A19" TargetMode="External"/><Relationship Id="rId6" Type="http://schemas.openxmlformats.org/officeDocument/2006/relationships/hyperlink" Target="https://www.zenitheurope.com/en/products/various/serra-csm" TargetMode="External"/><Relationship Id="rId5" Type="http://schemas.openxmlformats.org/officeDocument/2006/relationships/hyperlink" Target="https://www.zenitheurope.com/sites/default/files/assets/datasheets/HN%2065140_1.pdf" TargetMode="External"/><Relationship Id="rId4" Type="http://schemas.openxmlformats.org/officeDocument/2006/relationships/hyperlink" Target="https://www.zenitheurope.com/en/products?f%5B0%5D=category%3A8" TargetMode="External"/><Relationship Id="rId9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zenitheurope.com/sites/default/files/styles/product_afbeelding/public/assets/images/products/MR65.jpg?h=8af6c2ae&amp;itok=ayD-RUKn" TargetMode="External"/><Relationship Id="rId21" Type="http://schemas.openxmlformats.org/officeDocument/2006/relationships/hyperlink" Target="https://www.zenitheurope.com/sites/default/files/assets/datasheets/MR65NBR.pdf" TargetMode="External"/><Relationship Id="rId42" Type="http://schemas.openxmlformats.org/officeDocument/2006/relationships/hyperlink" Target="https://www.zenitheurope.com/sites/default/files/assets/datasheets/TL65.pdf" TargetMode="External"/><Relationship Id="rId47" Type="http://schemas.openxmlformats.org/officeDocument/2006/relationships/hyperlink" Target="https://www.zenitheurope.com/sites/default/files/styles/product_afbeelding/public/assets/images/products/CS80.jpg?h=8af6c2ae&amp;itok=pn4rkgpD" TargetMode="External"/><Relationship Id="rId63" Type="http://schemas.openxmlformats.org/officeDocument/2006/relationships/hyperlink" Target="https://www.zenitheurope.com/sites/default/files/assets/datasheets/CD65NBR_0.pdf" TargetMode="External"/><Relationship Id="rId68" Type="http://schemas.openxmlformats.org/officeDocument/2006/relationships/hyperlink" Target="https://www.zenitheurope.com/sites/default/files/styles/product_afbeelding/public/assets/images/products/DCD65.jpg?h=8af6c2ae&amp;itok=s33PfnM3" TargetMode="External"/><Relationship Id="rId84" Type="http://schemas.openxmlformats.org/officeDocument/2006/relationships/hyperlink" Target="https://www.zenitheurope.com/sites/default/files/assets/datasheets/Anti%20Vibration%20Mat%2070%20H.pdf" TargetMode="External"/><Relationship Id="rId89" Type="http://schemas.openxmlformats.org/officeDocument/2006/relationships/hyperlink" Target="https://www.zenitheurope.com/sites/default/files/styles/product_afbeelding/public/assets/images/products/MR65.jpg?h=8af6c2ae&amp;itok=ayD-RUKn" TargetMode="External"/><Relationship Id="rId16" Type="http://schemas.openxmlformats.org/officeDocument/2006/relationships/hyperlink" Target="https://www.zenitheurope.com/sites/default/files/styles/product_afbeelding/public/assets/images/products/ELS3000G.jpg?h=436b82d4&amp;itok=pwYdMU_N" TargetMode="External"/><Relationship Id="rId11" Type="http://schemas.openxmlformats.org/officeDocument/2006/relationships/hyperlink" Target="https://www.zenitheurope.com/sites/default/files/assets/datasheets/MR%2065%20FINE%20RIB.pdf" TargetMode="External"/><Relationship Id="rId32" Type="http://schemas.openxmlformats.org/officeDocument/2006/relationships/hyperlink" Target="https://www.zenitheurope.com/sites/default/files/styles/product_afbeelding/public/assets/images/products/CR65.jpg?h=8af6c2ae&amp;itok=kUNpApSO" TargetMode="External"/><Relationship Id="rId37" Type="http://schemas.openxmlformats.org/officeDocument/2006/relationships/hyperlink" Target="https://www.zenitheurope.com/en/products/rubber-matting/hurricane-wide-rib" TargetMode="External"/><Relationship Id="rId53" Type="http://schemas.openxmlformats.org/officeDocument/2006/relationships/hyperlink" Target="https://www.zenitheurope.com/sites/default/files/styles/product_afbeelding/public/assets/images/products/CS80.jpg?h=8af6c2ae&amp;itok=pn4rkgpD" TargetMode="External"/><Relationship Id="rId58" Type="http://schemas.openxmlformats.org/officeDocument/2006/relationships/hyperlink" Target="https://www.zenitheurope.com/en/products/rubber-matting/odin-checker-mat-colour" TargetMode="External"/><Relationship Id="rId74" Type="http://schemas.openxmlformats.org/officeDocument/2006/relationships/hyperlink" Target="https://www.zenitheurope.com/sites/default/files/styles/product_afbeelding/public/assets/images/products/AM65.jpg?h=436b82d4&amp;itok=SrDBluws" TargetMode="External"/><Relationship Id="rId79" Type="http://schemas.openxmlformats.org/officeDocument/2006/relationships/hyperlink" Target="https://www.zenitheurope.com/en/products/rubber-matting/zeus-marble-mat" TargetMode="External"/><Relationship Id="rId5" Type="http://schemas.openxmlformats.org/officeDocument/2006/relationships/hyperlink" Target="https://www.zenitheurope.com/sites/default/files/assets/files/Datasheets/ELS.pdf" TargetMode="External"/><Relationship Id="rId90" Type="http://schemas.openxmlformats.org/officeDocument/2006/relationships/hyperlink" Target="https://www.zenitheurope.com/sites/default/files/assets/datasheets/CD65SX%20CHECKER%20MAT.pdf" TargetMode="External"/><Relationship Id="rId95" Type="http://schemas.openxmlformats.org/officeDocument/2006/relationships/hyperlink" Target="https://www.zenitheurope.com/sites/default/files/styles/product_afbeelding/public/assets/images/products/Zeus.jpg?h=1e66e246&amp;itok=6QH3QqUZ" TargetMode="External"/><Relationship Id="rId22" Type="http://schemas.openxmlformats.org/officeDocument/2006/relationships/hyperlink" Target="https://www.zenitheurope.com/en/products/rubber-matting/saturn-fine-rib-nbr" TargetMode="External"/><Relationship Id="rId27" Type="http://schemas.openxmlformats.org/officeDocument/2006/relationships/hyperlink" Target="https://www.zenitheurope.com/sites/default/files/assets/datasheets/MN%2065%20MINI%20FINE%20RIB.pdf" TargetMode="External"/><Relationship Id="rId43" Type="http://schemas.openxmlformats.org/officeDocument/2006/relationships/hyperlink" Target="https://www.zenitheurope.com/en/products/rubber-matting/hector-truck-rib" TargetMode="External"/><Relationship Id="rId48" Type="http://schemas.openxmlformats.org/officeDocument/2006/relationships/hyperlink" Target="https://www.zenitheurope.com/sites/default/files/assets/datasheets/CS80%20colour.pdf" TargetMode="External"/><Relationship Id="rId64" Type="http://schemas.openxmlformats.org/officeDocument/2006/relationships/hyperlink" Target="https://www.zenitheurope.com/en/products/rubber-matting/odin-checker-mat-nbr" TargetMode="External"/><Relationship Id="rId69" Type="http://schemas.openxmlformats.org/officeDocument/2006/relationships/hyperlink" Target="https://www.zenitheurope.com/sites/default/files/assets/datasheets/SD%2065%20PYRAMID%20MAT.pdf" TargetMode="External"/><Relationship Id="rId8" Type="http://schemas.openxmlformats.org/officeDocument/2006/relationships/hyperlink" Target="https://www.zenitheurope.com/en/products/rubber-matting/feniks-isocarpet" TargetMode="External"/><Relationship Id="rId51" Type="http://schemas.openxmlformats.org/officeDocument/2006/relationships/hyperlink" Target="https://www.zenitheurope.com/sites/default/files/assets/datasheets/CS65SX.pdf" TargetMode="External"/><Relationship Id="rId72" Type="http://schemas.openxmlformats.org/officeDocument/2006/relationships/hyperlink" Target="https://www.zenitheurope.com/sites/default/files/assets/datasheets/AM%2065%20AMOEBA%20RIB%20MAT.pdf" TargetMode="External"/><Relationship Id="rId80" Type="http://schemas.openxmlformats.org/officeDocument/2006/relationships/hyperlink" Target="https://www.zenitheurope.com/sites/default/files/styles/product_afbeelding/public/assets/images/products/Zeus.jpg?h=1e66e246&amp;itok=6QH3QqUZ" TargetMode="External"/><Relationship Id="rId85" Type="http://schemas.openxmlformats.org/officeDocument/2006/relationships/hyperlink" Target="https://www.zenitheurope.com/en/products/rubber-matting/novibramat-70degshore" TargetMode="External"/><Relationship Id="rId93" Type="http://schemas.openxmlformats.org/officeDocument/2006/relationships/hyperlink" Target="https://www.zenitheurope.com/sites/default/files/assets/datasheets/SB%2080145%20GREY_0.pdf" TargetMode="External"/><Relationship Id="rId3" Type="http://schemas.openxmlformats.org/officeDocument/2006/relationships/hyperlink" Target="https://www.zenitheurope.com/en/products/rubber-matting/cobra" TargetMode="External"/><Relationship Id="rId12" Type="http://schemas.openxmlformats.org/officeDocument/2006/relationships/hyperlink" Target="https://www.zenitheurope.com/en/products/rubber-matting/saturn-fine-rib" TargetMode="External"/><Relationship Id="rId17" Type="http://schemas.openxmlformats.org/officeDocument/2006/relationships/hyperlink" Target="https://www.zenitheurope.com/sites/default/files/styles/product_afbeelding/public/assets/images/products/Isocarpet_0.jpg?h=1e66e246&amp;itok=hWbCgwtP" TargetMode="External"/><Relationship Id="rId25" Type="http://schemas.openxmlformats.org/officeDocument/2006/relationships/hyperlink" Target="https://www.zenitheurope.com/en/products/rubber-matting/saturn-basic-fine-rib" TargetMode="External"/><Relationship Id="rId33" Type="http://schemas.openxmlformats.org/officeDocument/2006/relationships/hyperlink" Target="https://www.zenitheurope.com/sites/default/files/assets/datasheets/LS%2065%20FLAT%20RIB.pdf" TargetMode="External"/><Relationship Id="rId38" Type="http://schemas.openxmlformats.org/officeDocument/2006/relationships/hyperlink" Target="https://www.zenitheurope.com/sites/default/files/styles/product_afbeelding/public/assets/images/products/BR65.jpg?h=6a77a8c9&amp;itok=BLnxt7fp" TargetMode="External"/><Relationship Id="rId46" Type="http://schemas.openxmlformats.org/officeDocument/2006/relationships/hyperlink" Target="https://www.zenitheurope.com/en/products/rubber-matting/vidar-coin-mat" TargetMode="External"/><Relationship Id="rId59" Type="http://schemas.openxmlformats.org/officeDocument/2006/relationships/hyperlink" Target="https://www.zenitheurope.com/sites/default/files/styles/product_afbeelding/public/assets/images/products/CD65G_0.jpg?h=436b82d4&amp;itok=7bNumVyK" TargetMode="External"/><Relationship Id="rId67" Type="http://schemas.openxmlformats.org/officeDocument/2006/relationships/hyperlink" Target="https://www.zenitheurope.com/en/products/rubber-matting/seltos-diamond-checker" TargetMode="External"/><Relationship Id="rId20" Type="http://schemas.openxmlformats.org/officeDocument/2006/relationships/hyperlink" Target="https://www.zenitheurope.com/sites/default/files/styles/product_afbeelding/public/assets/images/products/MR65G.jpg?h=436b82d4&amp;itok=r1TgA3fn" TargetMode="External"/><Relationship Id="rId41" Type="http://schemas.openxmlformats.org/officeDocument/2006/relationships/hyperlink" Target="https://www.zenitheurope.com/sites/default/files/styles/product_afbeelding/public/assets/images/products/BR65.jpg?h=6a77a8c9&amp;itok=BLnxt7fp" TargetMode="External"/><Relationship Id="rId54" Type="http://schemas.openxmlformats.org/officeDocument/2006/relationships/hyperlink" Target="https://www.zenitheurope.com/sites/default/files/assets/datasheets/CD%2065%20CHECKER%20MAT.pdf" TargetMode="External"/><Relationship Id="rId62" Type="http://schemas.openxmlformats.org/officeDocument/2006/relationships/hyperlink" Target="https://www.zenitheurope.com/sites/default/files/styles/product_afbeelding/public/assets/images/products/CD65.jpg?h=8af6c2ae&amp;itok=RJQ5DegR" TargetMode="External"/><Relationship Id="rId70" Type="http://schemas.openxmlformats.org/officeDocument/2006/relationships/hyperlink" Target="https://www.zenitheurope.com/en/products/rubber-matting/sphynx-pyramid-mat" TargetMode="External"/><Relationship Id="rId75" Type="http://schemas.openxmlformats.org/officeDocument/2006/relationships/hyperlink" Target="https://www.zenitheurope.com/sites/default/files/assets/datasheets/DD%2065%20DIAMOND%20MAT.pdf" TargetMode="External"/><Relationship Id="rId83" Type="http://schemas.openxmlformats.org/officeDocument/2006/relationships/hyperlink" Target="https://www.zenitheurope.com/sites/default/files/styles/product_afbeelding/public/assets/images/products/AV45-AV70.jpg?h=cd458c83&amp;itok=KNk0kPoE" TargetMode="External"/><Relationship Id="rId88" Type="http://schemas.openxmlformats.org/officeDocument/2006/relationships/hyperlink" Target="https://www.zenitheurope.com/en/products/rubber-matting/saturn-basic-fine-rib" TargetMode="External"/><Relationship Id="rId91" Type="http://schemas.openxmlformats.org/officeDocument/2006/relationships/hyperlink" Target="https://www.zenitheurope.com/en/products/rubber-matting/odin-eco-checker-mat" TargetMode="External"/><Relationship Id="rId96" Type="http://schemas.openxmlformats.org/officeDocument/2006/relationships/printerSettings" Target="../printerSettings/printerSettings9.bin"/><Relationship Id="rId1" Type="http://schemas.openxmlformats.org/officeDocument/2006/relationships/hyperlink" Target="https://www.zenitheurope.com/en/products?f%5B0%5D=category%3A19" TargetMode="External"/><Relationship Id="rId6" Type="http://schemas.openxmlformats.org/officeDocument/2006/relationships/hyperlink" Target="https://www.zenitheurope.com/en/products/rubber-matting/feniks-insulation-fine-rib-mat" TargetMode="External"/><Relationship Id="rId15" Type="http://schemas.openxmlformats.org/officeDocument/2006/relationships/hyperlink" Target="https://www.zenitheurope.com/sites/default/files/styles/product_afbeelding/public/assets/images/products/SX70150C.jpg?h=436b82d4&amp;itok=i5ebINYa" TargetMode="External"/><Relationship Id="rId23" Type="http://schemas.openxmlformats.org/officeDocument/2006/relationships/hyperlink" Target="https://www.zenitheurope.com/sites/default/files/styles/product_afbeelding/public/assets/images/products/MR65.jpg?h=8af6c2ae&amp;itok=ayD-RUKn" TargetMode="External"/><Relationship Id="rId28" Type="http://schemas.openxmlformats.org/officeDocument/2006/relationships/hyperlink" Target="https://www.zenitheurope.com/en/products/rubber-matting/saturn-eco-fine-rib" TargetMode="External"/><Relationship Id="rId36" Type="http://schemas.openxmlformats.org/officeDocument/2006/relationships/hyperlink" Target="https://www.zenitheurope.com/sites/default/files/assets/datasheets/BR%2065%20WIDE%20RIB%20MAT.pdf" TargetMode="External"/><Relationship Id="rId49" Type="http://schemas.openxmlformats.org/officeDocument/2006/relationships/hyperlink" Target="https://www.zenitheurope.com/en/products/rubber-matting/vidar-coin-mat-colour" TargetMode="External"/><Relationship Id="rId57" Type="http://schemas.openxmlformats.org/officeDocument/2006/relationships/hyperlink" Target="https://www.zenitheurope.com/sites/default/files/assets/datasheets/CD65%20CHECKER%20MAT%20colour.pdf" TargetMode="External"/><Relationship Id="rId10" Type="http://schemas.openxmlformats.org/officeDocument/2006/relationships/hyperlink" Target="https://www.zenitheurope.com/en/products/rubber-matting/feniks-insulation-checker-mat" TargetMode="External"/><Relationship Id="rId31" Type="http://schemas.openxmlformats.org/officeDocument/2006/relationships/hyperlink" Target="https://www.zenitheurope.com/en/products/rubber-matting/athena-broad-rib" TargetMode="External"/><Relationship Id="rId44" Type="http://schemas.openxmlformats.org/officeDocument/2006/relationships/hyperlink" Target="https://www.zenitheurope.com/sites/default/files/styles/product_afbeelding/public/assets/images/products/TL65.jpg?h=1e66e246&amp;itok=FUbEmJdK" TargetMode="External"/><Relationship Id="rId52" Type="http://schemas.openxmlformats.org/officeDocument/2006/relationships/hyperlink" Target="https://www.zenitheurope.com/en/products/rubber-matting/vidar-eco-coin-mat" TargetMode="External"/><Relationship Id="rId60" Type="http://schemas.openxmlformats.org/officeDocument/2006/relationships/hyperlink" Target="https://www.zenitheurope.com/sites/default/files/assets/datasheets/CD65SX%20CHECKER%20MAT.pdf" TargetMode="External"/><Relationship Id="rId65" Type="http://schemas.openxmlformats.org/officeDocument/2006/relationships/hyperlink" Target="https://www.zenitheurope.com/sites/default/files/styles/product_afbeelding/public/assets/images/products/CD65.jpg?h=8af6c2ae&amp;itok=RJQ5DegR" TargetMode="External"/><Relationship Id="rId73" Type="http://schemas.openxmlformats.org/officeDocument/2006/relationships/hyperlink" Target="https://www.zenitheurope.com/en/products/rubber-matting/amoeba-mat" TargetMode="External"/><Relationship Id="rId78" Type="http://schemas.openxmlformats.org/officeDocument/2006/relationships/hyperlink" Target="https://www.zenitheurope.com/sites/default/files/assets/datasheets/SB%2080145%20GREY_0.pdf" TargetMode="External"/><Relationship Id="rId81" Type="http://schemas.openxmlformats.org/officeDocument/2006/relationships/hyperlink" Target="https://www.zenitheurope.com/sites/default/files/assets/datasheets/Anti%20Vibration%20Mat%2045%20H.pdf" TargetMode="External"/><Relationship Id="rId86" Type="http://schemas.openxmlformats.org/officeDocument/2006/relationships/hyperlink" Target="https://www.zenitheurope.com/sites/default/files/styles/product_afbeelding/public/assets/images/products/AV45-AV70.jpg?h=cd458c83&amp;itok=KNk0kPoE" TargetMode="External"/><Relationship Id="rId94" Type="http://schemas.openxmlformats.org/officeDocument/2006/relationships/hyperlink" Target="https://www.zenitheurope.com/en/products/rubber-matting/zeus-marble-mat" TargetMode="External"/><Relationship Id="rId4" Type="http://schemas.openxmlformats.org/officeDocument/2006/relationships/hyperlink" Target="https://www.zenitheurope.com/en/products?f%5B0%5D=category%3A10" TargetMode="External"/><Relationship Id="rId9" Type="http://schemas.openxmlformats.org/officeDocument/2006/relationships/hyperlink" Target="https://www.zenitheurope.com/sites/default/files/assets/files/Datasheets/ELS.pdf" TargetMode="External"/><Relationship Id="rId13" Type="http://schemas.openxmlformats.org/officeDocument/2006/relationships/hyperlink" Target="https://www.zenitheurope.com/sites/default/files/assets/datasheets/MR%2065%20FINE%20RIB%20GREY.pdf" TargetMode="External"/><Relationship Id="rId18" Type="http://schemas.openxmlformats.org/officeDocument/2006/relationships/hyperlink" Target="https://www.zenitheurope.com/sites/default/files/styles/product_afbeelding/public/assets/images/products/CD65G.jpg?h=436b82d4&amp;itok=HC_WvAsa" TargetMode="External"/><Relationship Id="rId39" Type="http://schemas.openxmlformats.org/officeDocument/2006/relationships/hyperlink" Target="https://www.zenitheurope.com/sites/default/files/assets/datasheets/BR%2065%20SX%20WIDE%20RIB%20MAT.pdf" TargetMode="External"/><Relationship Id="rId34" Type="http://schemas.openxmlformats.org/officeDocument/2006/relationships/hyperlink" Target="https://www.zenitheurope.com/en/products/rubber-matting/freya-block-rib" TargetMode="External"/><Relationship Id="rId50" Type="http://schemas.openxmlformats.org/officeDocument/2006/relationships/hyperlink" Target="https://www.zenitheurope.com/sites/default/files/styles/product_afbeelding/public/assets/images/products/CS80BL.jpg?h=436b82d4&amp;itok=W8FW7ydd" TargetMode="External"/><Relationship Id="rId55" Type="http://schemas.openxmlformats.org/officeDocument/2006/relationships/hyperlink" Target="https://www.zenitheurope.com/en/products/rubber-matting/odin-checker-mat" TargetMode="External"/><Relationship Id="rId76" Type="http://schemas.openxmlformats.org/officeDocument/2006/relationships/hyperlink" Target="https://www.zenitheurope.com/en/products/rubber-matting/zenith-diamond-mat" TargetMode="External"/><Relationship Id="rId7" Type="http://schemas.openxmlformats.org/officeDocument/2006/relationships/hyperlink" Target="https://www.zenitheurope.com/sites/default/files/assets/files/Datasheets/ELS.pdf" TargetMode="External"/><Relationship Id="rId71" Type="http://schemas.openxmlformats.org/officeDocument/2006/relationships/hyperlink" Target="https://www.zenitheurope.com/sites/default/files/styles/product_afbeelding/public/assets/images/products/SD65.jpg?h=2a479378&amp;itok=zMKss6oT" TargetMode="External"/><Relationship Id="rId92" Type="http://schemas.openxmlformats.org/officeDocument/2006/relationships/hyperlink" Target="https://www.zenitheurope.com/sites/default/files/styles/product_afbeelding/public/assets/images/products/CD65.jpg?h=8af6c2ae&amp;itok=RJQ5DegR" TargetMode="External"/><Relationship Id="rId2" Type="http://schemas.openxmlformats.org/officeDocument/2006/relationships/hyperlink" Target="https://www.zenitheurope.com/sites/default/files/assets/datasheets/SX%2070150_2.pdf" TargetMode="External"/><Relationship Id="rId29" Type="http://schemas.openxmlformats.org/officeDocument/2006/relationships/hyperlink" Target="https://www.zenitheurope.com/sites/default/files/styles/product_afbeelding/public/assets/images/products/MR65.jpg?h=8af6c2ae&amp;itok=ayD-RUKn" TargetMode="External"/><Relationship Id="rId24" Type="http://schemas.openxmlformats.org/officeDocument/2006/relationships/hyperlink" Target="https://www.zenitheurope.com/sites/default/files/assets/datasheets/MR%2065%20FINE%20RIB.pdf" TargetMode="External"/><Relationship Id="rId40" Type="http://schemas.openxmlformats.org/officeDocument/2006/relationships/hyperlink" Target="https://www.zenitheurope.com/en/products/rubber-matting/hurricane-eco-wide-rib" TargetMode="External"/><Relationship Id="rId45" Type="http://schemas.openxmlformats.org/officeDocument/2006/relationships/hyperlink" Target="https://www.zenitheurope.com/sites/default/files/assets/datasheets/CS80.pdf" TargetMode="External"/><Relationship Id="rId66" Type="http://schemas.openxmlformats.org/officeDocument/2006/relationships/hyperlink" Target="https://www.zenitheurope.com/sites/default/files/assets/datasheets/DCD%2065%20DIAMOND%20CHECKER%20MAT.pdf" TargetMode="External"/><Relationship Id="rId87" Type="http://schemas.openxmlformats.org/officeDocument/2006/relationships/hyperlink" Target="https://www.zenitheurope.com/sites/default/files/assets/datasheets/MR%2065%20FINE%20RIB.pdf" TargetMode="External"/><Relationship Id="rId61" Type="http://schemas.openxmlformats.org/officeDocument/2006/relationships/hyperlink" Target="https://www.zenitheurope.com/en/products/rubber-matting/odin-eco-checker-mat" TargetMode="External"/><Relationship Id="rId82" Type="http://schemas.openxmlformats.org/officeDocument/2006/relationships/hyperlink" Target="https://www.zenitheurope.com/en/products/rubber-matting/novibramat-45degshore" TargetMode="External"/><Relationship Id="rId19" Type="http://schemas.openxmlformats.org/officeDocument/2006/relationships/hyperlink" Target="https://www.zenitheurope.com/sites/default/files/styles/product_afbeelding/public/assets/images/products/MR65.jpg?h=8af6c2ae&amp;itok=ayD-RUKn" TargetMode="External"/><Relationship Id="rId14" Type="http://schemas.openxmlformats.org/officeDocument/2006/relationships/hyperlink" Target="https://www.zenitheurope.com/en/products/rubber-matting/saturn-fine-rib-grey" TargetMode="External"/><Relationship Id="rId30" Type="http://schemas.openxmlformats.org/officeDocument/2006/relationships/hyperlink" Target="https://www.zenitheurope.com/sites/default/files/assets/datasheets/CR%2065%20BROAD%20RIB%20MAT.pdf" TargetMode="External"/><Relationship Id="rId35" Type="http://schemas.openxmlformats.org/officeDocument/2006/relationships/hyperlink" Target="https://www.zenitheurope.com/sites/default/files/styles/product_afbeelding/public/assets/images/products/LS65.jpg?h=8af6c2ae&amp;itok=-Sk_NEsq" TargetMode="External"/><Relationship Id="rId56" Type="http://schemas.openxmlformats.org/officeDocument/2006/relationships/hyperlink" Target="https://www.zenitheurope.com/sites/default/files/styles/product_afbeelding/public/assets/images/products/CD65.jpg?h=8af6c2ae&amp;itok=RJQ5DegR" TargetMode="External"/><Relationship Id="rId77" Type="http://schemas.openxmlformats.org/officeDocument/2006/relationships/hyperlink" Target="https://www.zenitheurope.com/sites/default/files/styles/product_afbeelding/public/assets/images/products/DD65.jpg?h=8af6c2ae&amp;itok=w_qhWNmZ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zenitheurope.com/en/products/rubber-matting/saturn-fine-rib-grey" TargetMode="External"/><Relationship Id="rId21" Type="http://schemas.openxmlformats.org/officeDocument/2006/relationships/hyperlink" Target="https://www.zenitheurope.com/sites/default/files/assets/datasheets/NB80130%20%28100%25%29.pdf" TargetMode="External"/><Relationship Id="rId42" Type="http://schemas.openxmlformats.org/officeDocument/2006/relationships/hyperlink" Target="https://www.zenitheurope.com/en/products?f%5B0%5D=category%3A2&amp;f%5B1%5D=category%3A3" TargetMode="External"/><Relationship Id="rId63" Type="http://schemas.openxmlformats.org/officeDocument/2006/relationships/hyperlink" Target="https://www.zenitheurope.com/en/products/para-rubber-sheets/centaur-black-40" TargetMode="External"/><Relationship Id="rId84" Type="http://schemas.openxmlformats.org/officeDocument/2006/relationships/hyperlink" Target="https://www.zenitheurope.com/sites/default/files/assets/datasheets/SI%2060120%20F_6.pdf" TargetMode="External"/><Relationship Id="rId138" Type="http://schemas.openxmlformats.org/officeDocument/2006/relationships/hyperlink" Target="https://www.zenitheurope.com/sites/default/files/styles/product_afbeelding/public/assets/images/products/LS65.jpg?h=8af6c2ae&amp;itok=-Sk_NEsq" TargetMode="External"/><Relationship Id="rId159" Type="http://schemas.openxmlformats.org/officeDocument/2006/relationships/hyperlink" Target="https://www.zenitheurope.com/sites/default/files/styles/product_afbeelding/public/assets/images/products/CD65.jpg?h=8af6c2ae&amp;itok=RJQ5DegR" TargetMode="External"/><Relationship Id="rId170" Type="http://schemas.openxmlformats.org/officeDocument/2006/relationships/hyperlink" Target="https://www.zenitheurope.com/en/products/rubber-matting/seltos-diamond-checker" TargetMode="External"/><Relationship Id="rId191" Type="http://schemas.openxmlformats.org/officeDocument/2006/relationships/hyperlink" Target="https://www.zenitheurope.com/en/products/rubber-matting/saturn-basic-fine-rib" TargetMode="External"/><Relationship Id="rId205" Type="http://schemas.openxmlformats.org/officeDocument/2006/relationships/hyperlink" Target="https://www.zenitheurope.com/en/products/nrsbr-rubber-sheets/black-miami-flat-sheets" TargetMode="External"/><Relationship Id="rId107" Type="http://schemas.openxmlformats.org/officeDocument/2006/relationships/hyperlink" Target="https://www.zenitheurope.com/en/products?f%5B0%5D=category%3A10" TargetMode="External"/><Relationship Id="rId11" Type="http://schemas.openxmlformats.org/officeDocument/2006/relationships/hyperlink" Target="https://www.zenitheurope.com/sites/default/files/assets/datasheets/NB%207010_1.pdf" TargetMode="External"/><Relationship Id="rId32" Type="http://schemas.openxmlformats.org/officeDocument/2006/relationships/hyperlink" Target="https://www.zenitheurope.com/sites/default/files/assets/datasheets/EP%2065135%20%2830%20%25%29.pdf" TargetMode="External"/><Relationship Id="rId53" Type="http://schemas.openxmlformats.org/officeDocument/2006/relationships/hyperlink" Target="https://www.zenitheurope.com/sites/default/files/assets/datasheets/CR%205010.pdf" TargetMode="External"/><Relationship Id="rId74" Type="http://schemas.openxmlformats.org/officeDocument/2006/relationships/hyperlink" Target="https://www.zenitheurope.com/sites/default/files/assets/datasheets/NB%2060140F.pdf" TargetMode="External"/><Relationship Id="rId128" Type="http://schemas.openxmlformats.org/officeDocument/2006/relationships/hyperlink" Target="https://www.zenitheurope.com/en/products/rubber-matting/saturn-basic-fine-rib" TargetMode="External"/><Relationship Id="rId149" Type="http://schemas.openxmlformats.org/officeDocument/2006/relationships/hyperlink" Target="https://www.zenitheurope.com/en/products/rubber-matting/vidar-coin-mat" TargetMode="External"/><Relationship Id="rId5" Type="http://schemas.openxmlformats.org/officeDocument/2006/relationships/hyperlink" Target="https://www.zenitheurope.com/en/products/nrsbr-rubber-sheets/black-miami" TargetMode="External"/><Relationship Id="rId95" Type="http://schemas.openxmlformats.org/officeDocument/2006/relationships/hyperlink" Target="https://www.zenitheurope.com/sites/default/files/assets/datasheets/SB%2065130.pdf" TargetMode="External"/><Relationship Id="rId160" Type="http://schemas.openxmlformats.org/officeDocument/2006/relationships/hyperlink" Target="https://www.zenitheurope.com/sites/default/files/assets/datasheets/CD65%20CHECKER%20MAT%20colour.pdf" TargetMode="External"/><Relationship Id="rId181" Type="http://schemas.openxmlformats.org/officeDocument/2006/relationships/hyperlink" Target="https://www.zenitheurope.com/sites/default/files/assets/datasheets/SB%2080145%20GREY_0.pdf" TargetMode="External"/><Relationship Id="rId22" Type="http://schemas.openxmlformats.org/officeDocument/2006/relationships/hyperlink" Target="https://www.zenitheurope.com/en/products/nbr-rubber-sheets/satyr-premium-80" TargetMode="External"/><Relationship Id="rId43" Type="http://schemas.openxmlformats.org/officeDocument/2006/relationships/hyperlink" Target="https://www.zenitheurope.com/sites/default/files/assets/datasheets/CR%207010_2.pdf" TargetMode="External"/><Relationship Id="rId64" Type="http://schemas.openxmlformats.org/officeDocument/2006/relationships/hyperlink" Target="https://www.zenitheurope.com/sites/default/files/assets/datasheets/AB%2060117.pdf" TargetMode="External"/><Relationship Id="rId118" Type="http://schemas.openxmlformats.org/officeDocument/2006/relationships/hyperlink" Target="https://www.zenitheurope.com/sites/default/files/styles/product_afbeelding/public/assets/images/products/SX70150C.jpg?h=436b82d4&amp;itok=i5ebINYa" TargetMode="External"/><Relationship Id="rId139" Type="http://schemas.openxmlformats.org/officeDocument/2006/relationships/hyperlink" Target="https://www.zenitheurope.com/sites/default/files/assets/datasheets/BR%2065%20WIDE%20RIB%20MAT.pdf" TargetMode="External"/><Relationship Id="rId85" Type="http://schemas.openxmlformats.org/officeDocument/2006/relationships/hyperlink" Target="https://www.zenitheurope.com/en/products/food-grahttps:/www.zenitheurope.com/en/products/food-grade-vmq-silicone/viking-brick-redde-vmq-silicone/viking-translucent" TargetMode="External"/><Relationship Id="rId150" Type="http://schemas.openxmlformats.org/officeDocument/2006/relationships/hyperlink" Target="https://www.zenitheurope.com/sites/default/files/styles/product_afbeelding/public/assets/images/products/CS80.jpg?h=8af6c2ae&amp;itok=pn4rkgpD" TargetMode="External"/><Relationship Id="rId171" Type="http://schemas.openxmlformats.org/officeDocument/2006/relationships/hyperlink" Target="https://www.zenitheurope.com/sites/default/files/styles/product_afbeelding/public/assets/images/products/DCD65.jpg?h=8af6c2ae&amp;itok=s33PfnM3" TargetMode="External"/><Relationship Id="rId192" Type="http://schemas.openxmlformats.org/officeDocument/2006/relationships/hyperlink" Target="https://www.zenitheurope.com/sites/default/files/styles/product_afbeelding/public/assets/images/products/MR65.jpg?h=8af6c2ae&amp;itok=ayD-RUKn" TargetMode="External"/><Relationship Id="rId206" Type="http://schemas.openxmlformats.org/officeDocument/2006/relationships/hyperlink" Target="https://www.zenitheurope.com/en/products/nrsbr-rubber-sheets/black-miami-flat-sheets" TargetMode="External"/><Relationship Id="rId12" Type="http://schemas.openxmlformats.org/officeDocument/2006/relationships/hyperlink" Target="https://www.zenitheurope.com/en/products/nbr-rubber-sheets/satyr-eco" TargetMode="External"/><Relationship Id="rId33" Type="http://schemas.openxmlformats.org/officeDocument/2006/relationships/hyperlink" Target="https://www.zenitheurope.com/en/products/epdm-rubber-sheets/manticore-medium" TargetMode="External"/><Relationship Id="rId108" Type="http://schemas.openxmlformats.org/officeDocument/2006/relationships/hyperlink" Target="https://www.zenitheurope.com/sites/default/files/assets/files/Datasheets/ELS.pdf" TargetMode="External"/><Relationship Id="rId129" Type="http://schemas.openxmlformats.org/officeDocument/2006/relationships/hyperlink" Target="https://www.zenitheurope.com/sites/default/files/styles/product_afbeelding/public/assets/images/products/MR65.jpg?h=8af6c2ae&amp;itok=ayD-RUKn" TargetMode="External"/><Relationship Id="rId54" Type="http://schemas.openxmlformats.org/officeDocument/2006/relationships/hyperlink" Target="https://www.zenitheurope.com/en/products/cr-rubber-sheets/wendigo-50" TargetMode="External"/><Relationship Id="rId75" Type="http://schemas.openxmlformats.org/officeDocument/2006/relationships/hyperlink" Target="https://www.zenitheurope.com/en/products/food-grade-vmq-silicone/pegasus-nbr" TargetMode="External"/><Relationship Id="rId96" Type="http://schemas.openxmlformats.org/officeDocument/2006/relationships/hyperlink" Target="https://www.zenitheurope.com/en/products?f%5B0%5D=category%3A19" TargetMode="External"/><Relationship Id="rId140" Type="http://schemas.openxmlformats.org/officeDocument/2006/relationships/hyperlink" Target="https://www.zenitheurope.com/en/products/rubber-matting/hurricane-wide-rib" TargetMode="External"/><Relationship Id="rId161" Type="http://schemas.openxmlformats.org/officeDocument/2006/relationships/hyperlink" Target="https://www.zenitheurope.com/en/products/rubber-matting/odin-checker-mat-colour" TargetMode="External"/><Relationship Id="rId182" Type="http://schemas.openxmlformats.org/officeDocument/2006/relationships/hyperlink" Target="https://www.zenitheurope.com/en/products/rubber-matting/zeus-marble-mat" TargetMode="External"/><Relationship Id="rId6" Type="http://schemas.openxmlformats.org/officeDocument/2006/relationships/hyperlink" Target="https://www.zenitheurope.com/en/products?f%5B0%5D=category%3A2" TargetMode="External"/><Relationship Id="rId23" Type="http://schemas.openxmlformats.org/officeDocument/2006/relationships/hyperlink" Target="https://zenitheurope.com/sites/default/files/assets/datasheets/NB5010.pdf" TargetMode="External"/><Relationship Id="rId119" Type="http://schemas.openxmlformats.org/officeDocument/2006/relationships/hyperlink" Target="https://www.zenitheurope.com/sites/default/files/styles/product_afbeelding/public/assets/images/products/ELS3000G.jpg?h=436b82d4&amp;itok=pwYdMU_N" TargetMode="External"/><Relationship Id="rId44" Type="http://schemas.openxmlformats.org/officeDocument/2006/relationships/hyperlink" Target="https://www.zenitheurope.com/en/products/nbr-rubber-sheets/satyr-eco" TargetMode="External"/><Relationship Id="rId65" Type="http://schemas.openxmlformats.org/officeDocument/2006/relationships/hyperlink" Target="https://www.zenitheurope.com/en/products/para-rubber-sheets/centaur-black-40" TargetMode="External"/><Relationship Id="rId86" Type="http://schemas.openxmlformats.org/officeDocument/2006/relationships/hyperlink" Target="https://www.zenitheurope.com/sites/default/files/assets/datasheets/SI%2060120%20F_6.pdf" TargetMode="External"/><Relationship Id="rId130" Type="http://schemas.openxmlformats.org/officeDocument/2006/relationships/hyperlink" Target="https://www.zenitheurope.com/sites/default/files/assets/datasheets/MN%2065%20MINI%20FINE%20RIB.pdf" TargetMode="External"/><Relationship Id="rId151" Type="http://schemas.openxmlformats.org/officeDocument/2006/relationships/hyperlink" Target="https://www.zenitheurope.com/sites/default/files/assets/datasheets/CS80%20colour.pdf" TargetMode="External"/><Relationship Id="rId172" Type="http://schemas.openxmlformats.org/officeDocument/2006/relationships/hyperlink" Target="https://www.zenitheurope.com/sites/default/files/assets/datasheets/SD%2065%20PYRAMID%20MAT.pdf" TargetMode="External"/><Relationship Id="rId193" Type="http://schemas.openxmlformats.org/officeDocument/2006/relationships/hyperlink" Target="https://www.zenitheurope.com/sites/default/files/assets/datasheets/CD65SX%20CHECKER%20MAT.pdf" TargetMode="External"/><Relationship Id="rId207" Type="http://schemas.openxmlformats.org/officeDocument/2006/relationships/hyperlink" Target="https://www.zenitheurope.com/en/products/nrsbr-rubber-sheets/black-miami-flat-sheets" TargetMode="External"/><Relationship Id="rId13" Type="http://schemas.openxmlformats.org/officeDocument/2006/relationships/hyperlink" Target="https://www.zenitheurope.com/sites/default/files/assets/datasheets/NB%207010_1.pdf" TargetMode="External"/><Relationship Id="rId109" Type="http://schemas.openxmlformats.org/officeDocument/2006/relationships/hyperlink" Target="https://www.zenitheurope.com/en/products/rubber-matting/feniks-insulation-fine-rib-mat" TargetMode="External"/><Relationship Id="rId34" Type="http://schemas.openxmlformats.org/officeDocument/2006/relationships/hyperlink" Target="https://www.zenitheurope.com/sites/default/files/assets/datasheets/EP%2065120.pdf" TargetMode="External"/><Relationship Id="rId55" Type="http://schemas.openxmlformats.org/officeDocument/2006/relationships/hyperlink" Target="https://www.zenitheurope.com/en/products?f%5B0%5D=category%3A18" TargetMode="External"/><Relationship Id="rId76" Type="http://schemas.openxmlformats.org/officeDocument/2006/relationships/hyperlink" Target="https://www.zenitheurope.com/sites/default/files/assets/datasheets/EP60130F.pdf" TargetMode="External"/><Relationship Id="rId97" Type="http://schemas.openxmlformats.org/officeDocument/2006/relationships/hyperlink" Target="https://www.zenitheurope.com/sites/default/files/assets/datasheets/NB%2065145%20G_0.pdf" TargetMode="External"/><Relationship Id="rId120" Type="http://schemas.openxmlformats.org/officeDocument/2006/relationships/hyperlink" Target="https://www.zenitheurope.com/sites/default/files/styles/product_afbeelding/public/assets/images/products/Isocarpet_0.jpg?h=1e66e246&amp;itok=hWbCgwtP" TargetMode="External"/><Relationship Id="rId141" Type="http://schemas.openxmlformats.org/officeDocument/2006/relationships/hyperlink" Target="https://www.zenitheurope.com/sites/default/files/styles/product_afbeelding/public/assets/images/products/BR65.jpg?h=6a77a8c9&amp;itok=BLnxt7fp" TargetMode="External"/><Relationship Id="rId7" Type="http://schemas.openxmlformats.org/officeDocument/2006/relationships/hyperlink" Target="https://www.zenitheurope.com/en/products/nrsbr-rubber-sheets/black-miami-insertions" TargetMode="External"/><Relationship Id="rId162" Type="http://schemas.openxmlformats.org/officeDocument/2006/relationships/hyperlink" Target="https://www.zenitheurope.com/sites/default/files/styles/product_afbeelding/public/assets/images/products/CD65G_0.jpg?h=436b82d4&amp;itok=7bNumVyK" TargetMode="External"/><Relationship Id="rId183" Type="http://schemas.openxmlformats.org/officeDocument/2006/relationships/hyperlink" Target="https://www.zenitheurope.com/sites/default/files/styles/product_afbeelding/public/assets/images/products/Zeus.jpg?h=1e66e246&amp;itok=6QH3QqUZ" TargetMode="External"/><Relationship Id="rId24" Type="http://schemas.openxmlformats.org/officeDocument/2006/relationships/hyperlink" Target="https://zenitheurope.com/en/products/nbr-rubber-sheets/satyr-50" TargetMode="External"/><Relationship Id="rId45" Type="http://schemas.openxmlformats.org/officeDocument/2006/relationships/hyperlink" Target="https://www.zenitheurope.com/sites/default/files/assets/datasheets/CR%207010_2.pdf" TargetMode="External"/><Relationship Id="rId66" Type="http://schemas.openxmlformats.org/officeDocument/2006/relationships/hyperlink" Target="https://www.zenitheurope.com/sites/default/files/assets/datasheets/ABRA%20SUPER%2040%20RED_0.pdf" TargetMode="External"/><Relationship Id="rId87" Type="http://schemas.openxmlformats.org/officeDocument/2006/relationships/hyperlink" Target="https://www.zenitheurope.com/en/products/food-grade-vmq-silicone/viking-white" TargetMode="External"/><Relationship Id="rId110" Type="http://schemas.openxmlformats.org/officeDocument/2006/relationships/hyperlink" Target="https://www.zenitheurope.com/sites/default/files/assets/files/Datasheets/ELS.pdf" TargetMode="External"/><Relationship Id="rId131" Type="http://schemas.openxmlformats.org/officeDocument/2006/relationships/hyperlink" Target="https://www.zenitheurope.com/en/products/rubber-matting/saturn-eco-fine-rib" TargetMode="External"/><Relationship Id="rId61" Type="http://schemas.openxmlformats.org/officeDocument/2006/relationships/hyperlink" Target="https://www.zenitheurope.com/en/products/para-rubber-sheets/centaur-red" TargetMode="External"/><Relationship Id="rId82" Type="http://schemas.openxmlformats.org/officeDocument/2006/relationships/hyperlink" Target="https://www.zenitheurope.com/sites/default/files/assets/datasheets/NE%2065145%20FG_0.pdf" TargetMode="External"/><Relationship Id="rId152" Type="http://schemas.openxmlformats.org/officeDocument/2006/relationships/hyperlink" Target="https://www.zenitheurope.com/en/products/rubber-matting/vidar-coin-mat-colour" TargetMode="External"/><Relationship Id="rId173" Type="http://schemas.openxmlformats.org/officeDocument/2006/relationships/hyperlink" Target="https://www.zenitheurope.com/en/products/rubber-matting/sphynx-pyramid-mat" TargetMode="External"/><Relationship Id="rId194" Type="http://schemas.openxmlformats.org/officeDocument/2006/relationships/hyperlink" Target="https://www.zenitheurope.com/en/products/rubber-matting/odin-eco-checker-mat" TargetMode="External"/><Relationship Id="rId199" Type="http://schemas.openxmlformats.org/officeDocument/2006/relationships/hyperlink" Target="https://www.zenitheurope.com/en/products?f%5B0%5D=category%3A2" TargetMode="External"/><Relationship Id="rId203" Type="http://schemas.openxmlformats.org/officeDocument/2006/relationships/hyperlink" Target="https://www.zenitheurope.com/en/products?f%5B0%5D=category%3A10" TargetMode="External"/><Relationship Id="rId208" Type="http://schemas.openxmlformats.org/officeDocument/2006/relationships/hyperlink" Target="https://www.zenitheurope.com/en/products/nrsbr-rubber-sheets/black-miami-flat-sheets" TargetMode="External"/><Relationship Id="rId19" Type="http://schemas.openxmlformats.org/officeDocument/2006/relationships/hyperlink" Target="https://www.zenitheurope.com/sites/default/files/assets/datasheets/NB%2065130%20%28100%20%25%29.pdf" TargetMode="External"/><Relationship Id="rId14" Type="http://schemas.openxmlformats.org/officeDocument/2006/relationships/hyperlink" Target="https://www.zenitheurope.com/en/products/nbr-rubber-sheets/satyr-eco-insertions" TargetMode="External"/><Relationship Id="rId30" Type="http://schemas.openxmlformats.org/officeDocument/2006/relationships/hyperlink" Target="https://www.zenitheurope.com/sites/default/files/assets/datasheets/EP%207010_1.pdf" TargetMode="External"/><Relationship Id="rId35" Type="http://schemas.openxmlformats.org/officeDocument/2006/relationships/hyperlink" Target="https://www.zenitheurope.com/en/products/epdm-rubber-sheets/manticore-premium" TargetMode="External"/><Relationship Id="rId56" Type="http://schemas.openxmlformats.org/officeDocument/2006/relationships/hyperlink" Target="https://www.zenitheurope.com/sites/default/files/assets/datasheets/AB%2045110%20BEIGE.pdf" TargetMode="External"/><Relationship Id="rId77" Type="http://schemas.openxmlformats.org/officeDocument/2006/relationships/hyperlink" Target="https://www.zenitheurope.com/en/products/food-grade-vmq-silicone/pegasus-epdm" TargetMode="External"/><Relationship Id="rId100" Type="http://schemas.openxmlformats.org/officeDocument/2006/relationships/hyperlink" Target="https://www.zenitheurope.com/sites/default/files/assets/datasheets/HN%2065140_1.pdf" TargetMode="External"/><Relationship Id="rId105" Type="http://schemas.openxmlformats.org/officeDocument/2006/relationships/hyperlink" Target="https://www.zenitheurope.com/sites/default/files/assets/datasheets/SX%2070150_2.pdf" TargetMode="External"/><Relationship Id="rId126" Type="http://schemas.openxmlformats.org/officeDocument/2006/relationships/hyperlink" Target="https://www.zenitheurope.com/sites/default/files/styles/product_afbeelding/public/assets/images/products/MR65.jpg?h=8af6c2ae&amp;itok=ayD-RUKn" TargetMode="External"/><Relationship Id="rId147" Type="http://schemas.openxmlformats.org/officeDocument/2006/relationships/hyperlink" Target="https://www.zenitheurope.com/sites/default/files/styles/product_afbeelding/public/assets/images/products/TL65.jpg?h=1e66e246&amp;itok=FUbEmJdK" TargetMode="External"/><Relationship Id="rId168" Type="http://schemas.openxmlformats.org/officeDocument/2006/relationships/hyperlink" Target="https://www.zenitheurope.com/sites/default/files/styles/product_afbeelding/public/assets/images/products/CD65.jpg?h=8af6c2ae&amp;itok=RJQ5DegR" TargetMode="External"/><Relationship Id="rId8" Type="http://schemas.openxmlformats.org/officeDocument/2006/relationships/hyperlink" Target="https://www.zenitheurope.com/en/products/nrsbr-rubber-sheets/zenstar" TargetMode="External"/><Relationship Id="rId51" Type="http://schemas.openxmlformats.org/officeDocument/2006/relationships/hyperlink" Target="https://www.zenitheurope.com/sites/default/files/assets/datasheets/NE%2065140%20%28100%20%25%29.pdf" TargetMode="External"/><Relationship Id="rId72" Type="http://schemas.openxmlformats.org/officeDocument/2006/relationships/hyperlink" Target="https://www.zenitheurope.com/sites/default/files/assets/datasheets/SB%2060150F.pdf" TargetMode="External"/><Relationship Id="rId93" Type="http://schemas.openxmlformats.org/officeDocument/2006/relationships/hyperlink" Target="https://www.zenitheurope.com/en/products/fkm-rubber-sheets/karibu-fkm" TargetMode="External"/><Relationship Id="rId98" Type="http://schemas.openxmlformats.org/officeDocument/2006/relationships/hyperlink" Target="https://www.zenitheurope.com/en/products/various/kabira-neobenzid" TargetMode="External"/><Relationship Id="rId121" Type="http://schemas.openxmlformats.org/officeDocument/2006/relationships/hyperlink" Target="https://www.zenitheurope.com/sites/default/files/styles/product_afbeelding/public/assets/images/products/CD65G.jpg?h=436b82d4&amp;itok=HC_WvAsa" TargetMode="External"/><Relationship Id="rId142" Type="http://schemas.openxmlformats.org/officeDocument/2006/relationships/hyperlink" Target="https://www.zenitheurope.com/sites/default/files/assets/datasheets/BR%2065%20SX%20WIDE%20RIB%20MAT.pdf" TargetMode="External"/><Relationship Id="rId163" Type="http://schemas.openxmlformats.org/officeDocument/2006/relationships/hyperlink" Target="https://www.zenitheurope.com/sites/default/files/assets/datasheets/CD65SX%20CHECKER%20MAT.pdf" TargetMode="External"/><Relationship Id="rId184" Type="http://schemas.openxmlformats.org/officeDocument/2006/relationships/hyperlink" Target="https://www.zenitheurope.com/sites/default/files/assets/datasheets/Anti%20Vibration%20Mat%2045%20H.pdf" TargetMode="External"/><Relationship Id="rId189" Type="http://schemas.openxmlformats.org/officeDocument/2006/relationships/hyperlink" Target="https://www.zenitheurope.com/sites/default/files/styles/product_afbeelding/public/assets/images/products/AV45-AV70.jpg?h=cd458c83&amp;itok=KNk0kPoE" TargetMode="External"/><Relationship Id="rId3" Type="http://schemas.openxmlformats.org/officeDocument/2006/relationships/hyperlink" Target="https://www.zenitheurope.com/sites/default/files/assets/datasheets/SX70150.pdf" TargetMode="External"/><Relationship Id="rId25" Type="http://schemas.openxmlformats.org/officeDocument/2006/relationships/hyperlink" Target="https://www.zenitheurope.com/en/products?f%5B0%5D=category%3A2&amp;f%5B1%5D=category%3A3" TargetMode="External"/><Relationship Id="rId46" Type="http://schemas.openxmlformats.org/officeDocument/2006/relationships/hyperlink" Target="https://www.zenitheurope.com/en/products/nbr-rubber-sheets/satyr-eco-insertions" TargetMode="External"/><Relationship Id="rId67" Type="http://schemas.openxmlformats.org/officeDocument/2006/relationships/hyperlink" Target="https://www.zenitheurope.com/en/products/para-rubber-sheets/red-dragoon" TargetMode="External"/><Relationship Id="rId116" Type="http://schemas.openxmlformats.org/officeDocument/2006/relationships/hyperlink" Target="https://www.zenitheurope.com/sites/default/files/assets/datasheets/MR%2065%20FINE%20RIB%20GREY.pdf" TargetMode="External"/><Relationship Id="rId137" Type="http://schemas.openxmlformats.org/officeDocument/2006/relationships/hyperlink" Target="https://www.zenitheurope.com/en/products/rubber-matting/freya-block-rib" TargetMode="External"/><Relationship Id="rId158" Type="http://schemas.openxmlformats.org/officeDocument/2006/relationships/hyperlink" Target="https://www.zenitheurope.com/en/products/rubber-matting/odin-checker-mat" TargetMode="External"/><Relationship Id="rId20" Type="http://schemas.openxmlformats.org/officeDocument/2006/relationships/hyperlink" Target="https://www.zenitheurope.com/en/products/nbr-rubber-sheets/satyr-premium" TargetMode="External"/><Relationship Id="rId41" Type="http://schemas.openxmlformats.org/officeDocument/2006/relationships/hyperlink" Target="https://www.zenitheurope.com/en/products/epdm-rubber-sheets/manticore-peroxid" TargetMode="External"/><Relationship Id="rId62" Type="http://schemas.openxmlformats.org/officeDocument/2006/relationships/hyperlink" Target="https://www.zenitheurope.com/sites/default/files/assets/datasheets/AB%2040110%20BLACK.pdf" TargetMode="External"/><Relationship Id="rId83" Type="http://schemas.openxmlformats.org/officeDocument/2006/relationships/hyperlink" Target="https://www.zenitheurope.com/en/products/food-grade-vmq-silicone/viking-blue" TargetMode="External"/><Relationship Id="rId88" Type="http://schemas.openxmlformats.org/officeDocument/2006/relationships/hyperlink" Target="https://www.zenitheurope.com/sites/default/files/assets/datasheets/SI%2040120.pdf" TargetMode="External"/><Relationship Id="rId111" Type="http://schemas.openxmlformats.org/officeDocument/2006/relationships/hyperlink" Target="https://www.zenitheurope.com/en/products/rubber-matting/feniks-isocarpet" TargetMode="External"/><Relationship Id="rId132" Type="http://schemas.openxmlformats.org/officeDocument/2006/relationships/hyperlink" Target="https://www.zenitheurope.com/sites/default/files/styles/product_afbeelding/public/assets/images/products/MR65.jpg?h=8af6c2ae&amp;itok=ayD-RUKn" TargetMode="External"/><Relationship Id="rId153" Type="http://schemas.openxmlformats.org/officeDocument/2006/relationships/hyperlink" Target="https://www.zenitheurope.com/sites/default/files/styles/product_afbeelding/public/assets/images/products/CS80BL.jpg?h=436b82d4&amp;itok=W8FW7ydd" TargetMode="External"/><Relationship Id="rId174" Type="http://schemas.openxmlformats.org/officeDocument/2006/relationships/hyperlink" Target="https://www.zenitheurope.com/sites/default/files/styles/product_afbeelding/public/assets/images/products/SD65.jpg?h=2a479378&amp;itok=zMKss6oT" TargetMode="External"/><Relationship Id="rId179" Type="http://schemas.openxmlformats.org/officeDocument/2006/relationships/hyperlink" Target="https://www.zenitheurope.com/en/products/rubber-matting/zenith-diamond-mat" TargetMode="External"/><Relationship Id="rId195" Type="http://schemas.openxmlformats.org/officeDocument/2006/relationships/hyperlink" Target="https://www.zenitheurope.com/sites/default/files/styles/product_afbeelding/public/assets/images/products/CD65.jpg?h=8af6c2ae&amp;itok=RJQ5DegR" TargetMode="External"/><Relationship Id="rId209" Type="http://schemas.openxmlformats.org/officeDocument/2006/relationships/hyperlink" Target="https://www.zenitheurope.com/en/products/nrsbr-rubber-sheets/black-miami-flat-sheets" TargetMode="External"/><Relationship Id="rId190" Type="http://schemas.openxmlformats.org/officeDocument/2006/relationships/hyperlink" Target="https://www.zenitheurope.com/sites/default/files/assets/datasheets/MR%2065%20FINE%20RIB.pdf" TargetMode="External"/><Relationship Id="rId204" Type="http://schemas.openxmlformats.org/officeDocument/2006/relationships/hyperlink" Target="https://www.zenitheurope.com/en/products/nrsbr-rubber-sheets/black-miami-50" TargetMode="External"/><Relationship Id="rId15" Type="http://schemas.openxmlformats.org/officeDocument/2006/relationships/hyperlink" Target="https://www.zenitheurope.com/sites/default/files/assets/datasheets/NB%207010_1.pdf" TargetMode="External"/><Relationship Id="rId36" Type="http://schemas.openxmlformats.org/officeDocument/2006/relationships/hyperlink" Target="https://www.zenitheurope.com/sites/default/files/assets/datasheets/EP%205010.pdf" TargetMode="External"/><Relationship Id="rId57" Type="http://schemas.openxmlformats.org/officeDocument/2006/relationships/hyperlink" Target="https://www.zenitheurope.com/en/products/para-rubber-sheets/typhon-beige" TargetMode="External"/><Relationship Id="rId106" Type="http://schemas.openxmlformats.org/officeDocument/2006/relationships/hyperlink" Target="https://www.zenitheurope.com/en/products/rubber-matting/cobra" TargetMode="External"/><Relationship Id="rId127" Type="http://schemas.openxmlformats.org/officeDocument/2006/relationships/hyperlink" Target="https://www.zenitheurope.com/sites/default/files/assets/datasheets/MR%2065%20FINE%20RIB.pdf" TargetMode="External"/><Relationship Id="rId10" Type="http://schemas.openxmlformats.org/officeDocument/2006/relationships/hyperlink" Target="https://www.zenitheurope.com/en/products?f%5B0%5D=category%3A2&amp;f%5B1%5D=category%3A3" TargetMode="External"/><Relationship Id="rId31" Type="http://schemas.openxmlformats.org/officeDocument/2006/relationships/hyperlink" Target="https://www.zenitheurope.com/en/products/epdm-rubber-sheets/manticore-eco-flat-sheets" TargetMode="External"/><Relationship Id="rId52" Type="http://schemas.openxmlformats.org/officeDocument/2006/relationships/hyperlink" Target="https://www.zenitheurope.com/en/products/cr-rubber-sheets/wendigo-premium" TargetMode="External"/><Relationship Id="rId73" Type="http://schemas.openxmlformats.org/officeDocument/2006/relationships/hyperlink" Target="https://www.zenitheurope.com/en/products/food-grade-vmq-silicone/pegasus-sbr" TargetMode="External"/><Relationship Id="rId78" Type="http://schemas.openxmlformats.org/officeDocument/2006/relationships/hyperlink" Target="https://www.zenitheurope.com/sites/default/files/assets/datasheets/NE%2065145%20FG_0.pdf" TargetMode="External"/><Relationship Id="rId94" Type="http://schemas.openxmlformats.org/officeDocument/2006/relationships/hyperlink" Target="https://www.zenitheurope.com/en/products/nrsbr-rubber-sheets/zenstar" TargetMode="External"/><Relationship Id="rId99" Type="http://schemas.openxmlformats.org/officeDocument/2006/relationships/hyperlink" Target="https://www.zenitheurope.com/en/products?f%5B0%5D=category%3A8" TargetMode="External"/><Relationship Id="rId101" Type="http://schemas.openxmlformats.org/officeDocument/2006/relationships/hyperlink" Target="https://www.zenitheurope.com/en/products/various/serra-csm" TargetMode="External"/><Relationship Id="rId122" Type="http://schemas.openxmlformats.org/officeDocument/2006/relationships/hyperlink" Target="https://www.zenitheurope.com/sites/default/files/styles/product_afbeelding/public/assets/images/products/MR65.jpg?h=8af6c2ae&amp;itok=ayD-RUKn" TargetMode="External"/><Relationship Id="rId143" Type="http://schemas.openxmlformats.org/officeDocument/2006/relationships/hyperlink" Target="https://www.zenitheurope.com/en/products/rubber-matting/hurricane-eco-wide-rib" TargetMode="External"/><Relationship Id="rId148" Type="http://schemas.openxmlformats.org/officeDocument/2006/relationships/hyperlink" Target="https://www.zenitheurope.com/sites/default/files/assets/datasheets/CS80.pdf" TargetMode="External"/><Relationship Id="rId164" Type="http://schemas.openxmlformats.org/officeDocument/2006/relationships/hyperlink" Target="https://www.zenitheurope.com/en/products/rubber-matting/odin-eco-checker-mat" TargetMode="External"/><Relationship Id="rId169" Type="http://schemas.openxmlformats.org/officeDocument/2006/relationships/hyperlink" Target="https://www.zenitheurope.com/sites/default/files/assets/datasheets/DCD%2065%20DIAMOND%20CHECKER%20MAT.pdf" TargetMode="External"/><Relationship Id="rId185" Type="http://schemas.openxmlformats.org/officeDocument/2006/relationships/hyperlink" Target="https://www.zenitheurope.com/en/products/rubber-matting/novibramat-45degshore" TargetMode="External"/><Relationship Id="rId4" Type="http://schemas.openxmlformats.org/officeDocument/2006/relationships/hyperlink" Target="https://www.zenitheurope.com/sites/default/files/assets/datasheets/SB%2065130.pdf" TargetMode="External"/><Relationship Id="rId9" Type="http://schemas.openxmlformats.org/officeDocument/2006/relationships/hyperlink" Target="https://www.zenitheurope.com/sites/default/files/assets/datasheets/SX50150.pdf" TargetMode="External"/><Relationship Id="rId180" Type="http://schemas.openxmlformats.org/officeDocument/2006/relationships/hyperlink" Target="https://www.zenitheurope.com/sites/default/files/styles/product_afbeelding/public/assets/images/products/DD65.jpg?h=8af6c2ae&amp;itok=w_qhWNmZ" TargetMode="External"/><Relationship Id="rId210" Type="http://schemas.openxmlformats.org/officeDocument/2006/relationships/table" Target="../tables/table1.xml"/><Relationship Id="rId26" Type="http://schemas.openxmlformats.org/officeDocument/2006/relationships/hyperlink" Target="https://www.zenitheurope.com/sites/default/files/assets/datasheets/EP%207010_1.pdf" TargetMode="External"/><Relationship Id="rId47" Type="http://schemas.openxmlformats.org/officeDocument/2006/relationships/hyperlink" Target="https://www.zenitheurope.com/sites/default/files/assets/datasheets/CR%207010_2.pdf" TargetMode="External"/><Relationship Id="rId68" Type="http://schemas.openxmlformats.org/officeDocument/2006/relationships/hyperlink" Target="https://www.zenitheurope.com/sites/default/files/assets/datasheets/AB40100SP.pdf" TargetMode="External"/><Relationship Id="rId89" Type="http://schemas.openxmlformats.org/officeDocument/2006/relationships/hyperlink" Target="https://www.zenitheurope.com/en/products/food-grade-vmq-silicone/viking-translucent-40" TargetMode="External"/><Relationship Id="rId112" Type="http://schemas.openxmlformats.org/officeDocument/2006/relationships/hyperlink" Target="https://www.zenitheurope.com/sites/default/files/assets/files/Datasheets/ELS.pdf" TargetMode="External"/><Relationship Id="rId133" Type="http://schemas.openxmlformats.org/officeDocument/2006/relationships/hyperlink" Target="https://www.zenitheurope.com/sites/default/files/assets/datasheets/CR%2065%20BROAD%20RIB%20MAT.pdf" TargetMode="External"/><Relationship Id="rId154" Type="http://schemas.openxmlformats.org/officeDocument/2006/relationships/hyperlink" Target="https://www.zenitheurope.com/sites/default/files/assets/datasheets/CS65SX.pdf" TargetMode="External"/><Relationship Id="rId175" Type="http://schemas.openxmlformats.org/officeDocument/2006/relationships/hyperlink" Target="https://www.zenitheurope.com/sites/default/files/assets/datasheets/AM%2065%20AMOEBA%20RIB%20MAT.pdf" TargetMode="External"/><Relationship Id="rId196" Type="http://schemas.openxmlformats.org/officeDocument/2006/relationships/hyperlink" Target="https://www.zenitheurope.com/sites/default/files/assets/datasheets/SB%2080145%20GREY_0.pdf" TargetMode="External"/><Relationship Id="rId200" Type="http://schemas.openxmlformats.org/officeDocument/2006/relationships/hyperlink" Target="https://www.zenitheurope.com/en/products/nrsbr-rubber-sheets/black-miami-insertions" TargetMode="External"/><Relationship Id="rId16" Type="http://schemas.openxmlformats.org/officeDocument/2006/relationships/hyperlink" Target="https://www.zenitheurope.com/en/products/nbr-rubber-sheets/satyr-eco-flat-sheets" TargetMode="External"/><Relationship Id="rId37" Type="http://schemas.openxmlformats.org/officeDocument/2006/relationships/hyperlink" Target="https://www.zenitheurope.com/en/products/epdm-rubber-sheets/manticore-50" TargetMode="External"/><Relationship Id="rId58" Type="http://schemas.openxmlformats.org/officeDocument/2006/relationships/hyperlink" Target="https://www.zenitheurope.com/sites/default/files/assets/datasheets/AB%2045110%20GREY.pdf" TargetMode="External"/><Relationship Id="rId79" Type="http://schemas.openxmlformats.org/officeDocument/2006/relationships/hyperlink" Target="https://www.zenitheurope.com/en/products/food-grade-vmq-silicone/pegasus-cr" TargetMode="External"/><Relationship Id="rId102" Type="http://schemas.openxmlformats.org/officeDocument/2006/relationships/hyperlink" Target="https://www.zenitheurope.com/en/products/various/rama-butyl" TargetMode="External"/><Relationship Id="rId123" Type="http://schemas.openxmlformats.org/officeDocument/2006/relationships/hyperlink" Target="https://www.zenitheurope.com/sites/default/files/styles/product_afbeelding/public/assets/images/products/MR65G.jpg?h=436b82d4&amp;itok=r1TgA3fn" TargetMode="External"/><Relationship Id="rId144" Type="http://schemas.openxmlformats.org/officeDocument/2006/relationships/hyperlink" Target="https://www.zenitheurope.com/sites/default/files/styles/product_afbeelding/public/assets/images/products/BR65.jpg?h=6a77a8c9&amp;itok=BLnxt7fp" TargetMode="External"/><Relationship Id="rId90" Type="http://schemas.openxmlformats.org/officeDocument/2006/relationships/hyperlink" Target="https://www.zenitheurope.com/en/products?f%5B0%5D=category%3A19" TargetMode="External"/><Relationship Id="rId165" Type="http://schemas.openxmlformats.org/officeDocument/2006/relationships/hyperlink" Target="https://www.zenitheurope.com/sites/default/files/styles/product_afbeelding/public/assets/images/products/CD65.jpg?h=8af6c2ae&amp;itok=RJQ5DegR" TargetMode="External"/><Relationship Id="rId186" Type="http://schemas.openxmlformats.org/officeDocument/2006/relationships/hyperlink" Target="https://www.zenitheurope.com/sites/default/files/styles/product_afbeelding/public/assets/images/products/AV45-AV70.jpg?h=cd458c83&amp;itok=KNk0kPoE" TargetMode="External"/><Relationship Id="rId27" Type="http://schemas.openxmlformats.org/officeDocument/2006/relationships/hyperlink" Target="https://www.zenitheurope.com/en/products/epdm-rubber-sheets/manticore-eco" TargetMode="External"/><Relationship Id="rId48" Type="http://schemas.openxmlformats.org/officeDocument/2006/relationships/hyperlink" Target="https://www.zenitheurope.com/en/products/nbr-rubber-sheets/satyr-eco-flat-sheets" TargetMode="External"/><Relationship Id="rId69" Type="http://schemas.openxmlformats.org/officeDocument/2006/relationships/hyperlink" Target="https://www.zenitheurope.com/en/products/para-rubber-sheets/typhon-dustsealing" TargetMode="External"/><Relationship Id="rId113" Type="http://schemas.openxmlformats.org/officeDocument/2006/relationships/hyperlink" Target="https://www.zenitheurope.com/en/products/rubber-matting/feniks-insulation-checker-mat" TargetMode="External"/><Relationship Id="rId134" Type="http://schemas.openxmlformats.org/officeDocument/2006/relationships/hyperlink" Target="https://www.zenitheurope.com/en/products/rubber-matting/athena-broad-rib" TargetMode="External"/><Relationship Id="rId80" Type="http://schemas.openxmlformats.org/officeDocument/2006/relationships/hyperlink" Target="https://www.zenitheurope.com/sites/default/files/assets/datasheets/SI%2060120%20F_6.pdf" TargetMode="External"/><Relationship Id="rId155" Type="http://schemas.openxmlformats.org/officeDocument/2006/relationships/hyperlink" Target="https://www.zenitheurope.com/en/products/rubber-matting/vidar-eco-coin-mat" TargetMode="External"/><Relationship Id="rId176" Type="http://schemas.openxmlformats.org/officeDocument/2006/relationships/hyperlink" Target="https://www.zenitheurope.com/en/products/rubber-matting/amoeba-mat" TargetMode="External"/><Relationship Id="rId197" Type="http://schemas.openxmlformats.org/officeDocument/2006/relationships/hyperlink" Target="https://www.zenitheurope.com/en/products/rubber-matting/zeus-marble-mat" TargetMode="External"/><Relationship Id="rId201" Type="http://schemas.openxmlformats.org/officeDocument/2006/relationships/hyperlink" Target="https://www.zenitheurope.com/en/products/nrsbr-rubber-sheets/black-miami-flat-sheets" TargetMode="External"/><Relationship Id="rId17" Type="http://schemas.openxmlformats.org/officeDocument/2006/relationships/hyperlink" Target="https://www.zenitheurope.com/sites/default/files/assets/datasheets/NB%2070140%20%2830%25%29.pdf" TargetMode="External"/><Relationship Id="rId38" Type="http://schemas.openxmlformats.org/officeDocument/2006/relationships/hyperlink" Target="https://www.zenitheurope.com/sites/default/files/assets/datasheets/EP%2070110%20KTW.pdf" TargetMode="External"/><Relationship Id="rId59" Type="http://schemas.openxmlformats.org/officeDocument/2006/relationships/hyperlink" Target="https://www.zenitheurope.com/en/products/para-rubber-sheets/typhon-grey" TargetMode="External"/><Relationship Id="rId103" Type="http://schemas.openxmlformats.org/officeDocument/2006/relationships/hyperlink" Target="https://www.zenitheurope.com/sites/default/files/assets/datasheets/IR%2060120_0.pdf" TargetMode="External"/><Relationship Id="rId124" Type="http://schemas.openxmlformats.org/officeDocument/2006/relationships/hyperlink" Target="https://www.zenitheurope.com/sites/default/files/assets/datasheets/MR65NBR.pdf" TargetMode="External"/><Relationship Id="rId70" Type="http://schemas.openxmlformats.org/officeDocument/2006/relationships/hyperlink" Target="https://zenitheurope.com/en/products/mining/centaur-black" TargetMode="External"/><Relationship Id="rId91" Type="http://schemas.openxmlformats.org/officeDocument/2006/relationships/hyperlink" Target="https://www.zenitheurope.com/sites/default/files/assets/datasheets/FPG%2072190%20G.pdf" TargetMode="External"/><Relationship Id="rId145" Type="http://schemas.openxmlformats.org/officeDocument/2006/relationships/hyperlink" Target="https://www.zenitheurope.com/sites/default/files/assets/datasheets/TL65.pdf" TargetMode="External"/><Relationship Id="rId166" Type="http://schemas.openxmlformats.org/officeDocument/2006/relationships/hyperlink" Target="https://www.zenitheurope.com/sites/default/files/assets/datasheets/CD65NBR_0.pdf" TargetMode="External"/><Relationship Id="rId187" Type="http://schemas.openxmlformats.org/officeDocument/2006/relationships/hyperlink" Target="https://www.zenitheurope.com/sites/default/files/assets/datasheets/Anti%20Vibration%20Mat%2070%20H.pdf" TargetMode="External"/><Relationship Id="rId1" Type="http://schemas.openxmlformats.org/officeDocument/2006/relationships/hyperlink" Target="https://www.zenitheurope.com/sites/default/files/assets/datasheets/SX70150.pdf" TargetMode="External"/><Relationship Id="rId28" Type="http://schemas.openxmlformats.org/officeDocument/2006/relationships/hyperlink" Target="https://www.zenitheurope.com/sites/default/files/assets/datasheets/EP%207010_1.pdf" TargetMode="External"/><Relationship Id="rId49" Type="http://schemas.openxmlformats.org/officeDocument/2006/relationships/hyperlink" Target="https://www.zenitheurope.com/sites/default/files/assets/datasheets/NE%2070140%20%2830%25%29.pdf" TargetMode="External"/><Relationship Id="rId114" Type="http://schemas.openxmlformats.org/officeDocument/2006/relationships/hyperlink" Target="https://www.zenitheurope.com/sites/default/files/assets/datasheets/MR%2065%20FINE%20RIB.pdf" TargetMode="External"/><Relationship Id="rId60" Type="http://schemas.openxmlformats.org/officeDocument/2006/relationships/hyperlink" Target="https://www.zenitheurope.com/sites/default/files/assets/datasheets/AB%2045110%20RED.pdf" TargetMode="External"/><Relationship Id="rId81" Type="http://schemas.openxmlformats.org/officeDocument/2006/relationships/hyperlink" Target="https://www.zenitheurope.com/en/products/food-grade-vmq-silicone/viking-translucent" TargetMode="External"/><Relationship Id="rId135" Type="http://schemas.openxmlformats.org/officeDocument/2006/relationships/hyperlink" Target="https://www.zenitheurope.com/sites/default/files/styles/product_afbeelding/public/assets/images/products/CR65.jpg?h=8af6c2ae&amp;itok=kUNpApSO" TargetMode="External"/><Relationship Id="rId156" Type="http://schemas.openxmlformats.org/officeDocument/2006/relationships/hyperlink" Target="https://www.zenitheurope.com/sites/default/files/styles/product_afbeelding/public/assets/images/products/CS80.jpg?h=8af6c2ae&amp;itok=pn4rkgpD" TargetMode="External"/><Relationship Id="rId177" Type="http://schemas.openxmlformats.org/officeDocument/2006/relationships/hyperlink" Target="https://www.zenitheurope.com/sites/default/files/styles/product_afbeelding/public/assets/images/products/AM65.jpg?h=436b82d4&amp;itok=SrDBluws" TargetMode="External"/><Relationship Id="rId198" Type="http://schemas.openxmlformats.org/officeDocument/2006/relationships/hyperlink" Target="https://www.zenitheurope.com/sites/default/files/styles/product_afbeelding/public/assets/images/products/Zeus.jpg?h=1e66e246&amp;itok=6QH3QqUZ" TargetMode="External"/><Relationship Id="rId202" Type="http://schemas.openxmlformats.org/officeDocument/2006/relationships/hyperlink" Target="https://www.zenitheurope.com/en/products/nrsbr-rubber-sheets/black-miami-50" TargetMode="External"/><Relationship Id="rId18" Type="http://schemas.openxmlformats.org/officeDocument/2006/relationships/hyperlink" Target="https://www.zenitheurope.com/en/products/nbr-rubber-sheets/satyr-medium" TargetMode="External"/><Relationship Id="rId39" Type="http://schemas.openxmlformats.org/officeDocument/2006/relationships/hyperlink" Target="https://www.zenitheurope.com/en/products/epdm-rubber-sheets/manticore-aqua" TargetMode="External"/><Relationship Id="rId50" Type="http://schemas.openxmlformats.org/officeDocument/2006/relationships/hyperlink" Target="https://www.zenitheurope.com/en/products/cr-rubber-sheets/wendigo-medium" TargetMode="External"/><Relationship Id="rId104" Type="http://schemas.openxmlformats.org/officeDocument/2006/relationships/hyperlink" Target="https://www.zenitheurope.com/en/products?f%5B0%5D=category%3A19" TargetMode="External"/><Relationship Id="rId125" Type="http://schemas.openxmlformats.org/officeDocument/2006/relationships/hyperlink" Target="https://www.zenitheurope.com/en/products/rubber-matting/saturn-fine-rib-nbr" TargetMode="External"/><Relationship Id="rId146" Type="http://schemas.openxmlformats.org/officeDocument/2006/relationships/hyperlink" Target="https://www.zenitheurope.com/en/products/rubber-matting/hector-truck-rib" TargetMode="External"/><Relationship Id="rId167" Type="http://schemas.openxmlformats.org/officeDocument/2006/relationships/hyperlink" Target="https://www.zenitheurope.com/en/products/rubber-matting/odin-checker-mat-nbr" TargetMode="External"/><Relationship Id="rId188" Type="http://schemas.openxmlformats.org/officeDocument/2006/relationships/hyperlink" Target="https://www.zenitheurope.com/en/products/rubber-matting/novibramat-70degshore" TargetMode="External"/><Relationship Id="rId71" Type="http://schemas.openxmlformats.org/officeDocument/2006/relationships/hyperlink" Target="https://www.zenitheurope.com/en/products?f%5B0%5D=category%3A19" TargetMode="External"/><Relationship Id="rId92" Type="http://schemas.openxmlformats.org/officeDocument/2006/relationships/hyperlink" Target="https://www.zenitheurope.com/en/products/fkm-rubber-sheets/karibu-fkm" TargetMode="External"/><Relationship Id="rId2" Type="http://schemas.openxmlformats.org/officeDocument/2006/relationships/hyperlink" Target="https://www.zenitheurope.com/sites/default/files/assets/datasheets/SX70150.pdf" TargetMode="External"/><Relationship Id="rId29" Type="http://schemas.openxmlformats.org/officeDocument/2006/relationships/hyperlink" Target="https://www.zenitheurope.com/en/products/epdm-rubber-sheets/manticore-eco-insertions" TargetMode="External"/><Relationship Id="rId40" Type="http://schemas.openxmlformats.org/officeDocument/2006/relationships/hyperlink" Target="https://www.zenitheurope.com/sites/default/files/assets/datasheets/EP%2070122%20PC_0.pdf" TargetMode="External"/><Relationship Id="rId115" Type="http://schemas.openxmlformats.org/officeDocument/2006/relationships/hyperlink" Target="https://www.zenitheurope.com/en/products/rubber-matting/saturn-fine-rib" TargetMode="External"/><Relationship Id="rId136" Type="http://schemas.openxmlformats.org/officeDocument/2006/relationships/hyperlink" Target="https://www.zenitheurope.com/sites/default/files/assets/datasheets/LS%2065%20FLAT%20RIB.pdf" TargetMode="External"/><Relationship Id="rId157" Type="http://schemas.openxmlformats.org/officeDocument/2006/relationships/hyperlink" Target="https://www.zenitheurope.com/sites/default/files/assets/datasheets/CD%2065%20CHECKER%20MAT.pdf" TargetMode="External"/><Relationship Id="rId178" Type="http://schemas.openxmlformats.org/officeDocument/2006/relationships/hyperlink" Target="https://www.zenitheurope.com/sites/default/files/assets/datasheets/DD%2065%20DIAMOND%20MA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F505-4889-4BB0-8C5D-631459F3C74C}">
  <sheetPr>
    <tabColor theme="1"/>
  </sheetPr>
  <dimension ref="A1:C74"/>
  <sheetViews>
    <sheetView topLeftCell="A28" zoomScale="70" zoomScaleNormal="70" workbookViewId="0">
      <selection activeCell="G8" sqref="G8"/>
    </sheetView>
  </sheetViews>
  <sheetFormatPr defaultColWidth="8.6640625" defaultRowHeight="27" customHeight="1" x14ac:dyDescent="0.85"/>
  <cols>
    <col min="1" max="1" width="30.5546875" style="3" customWidth="1"/>
    <col min="2" max="2" width="16.5546875" style="4" customWidth="1"/>
    <col min="3" max="3" width="16.5546875" style="158" customWidth="1"/>
    <col min="4" max="16384" width="8.6640625" style="3"/>
  </cols>
  <sheetData>
    <row r="1" spans="1:3" ht="27" customHeight="1" x14ac:dyDescent="0.85">
      <c r="A1" s="2" t="s">
        <v>200</v>
      </c>
      <c r="B1" s="158" t="s">
        <v>744</v>
      </c>
    </row>
    <row r="2" spans="1:3" ht="27" customHeight="1" x14ac:dyDescent="0.85">
      <c r="A2" s="2" t="s">
        <v>201</v>
      </c>
      <c r="B2" s="4">
        <v>11438</v>
      </c>
    </row>
    <row r="4" spans="1:3" s="11" customFormat="1" ht="27" customHeight="1" x14ac:dyDescent="0.85">
      <c r="A4" s="5" t="s">
        <v>202</v>
      </c>
      <c r="B4" s="6" t="s">
        <v>309</v>
      </c>
      <c r="C4" s="7" t="s">
        <v>258</v>
      </c>
    </row>
    <row r="5" spans="1:3" ht="27" customHeight="1" x14ac:dyDescent="0.85">
      <c r="A5" s="59" t="s">
        <v>0</v>
      </c>
      <c r="B5" s="159"/>
      <c r="C5" s="159"/>
    </row>
    <row r="6" spans="1:3" ht="27" customHeight="1" x14ac:dyDescent="0.85">
      <c r="A6" s="8" t="s">
        <v>203</v>
      </c>
      <c r="B6" s="9">
        <v>60</v>
      </c>
      <c r="C6" s="208" t="s">
        <v>259</v>
      </c>
    </row>
    <row r="7" spans="1:3" ht="27" customHeight="1" x14ac:dyDescent="0.85">
      <c r="A7" s="10" t="s">
        <v>204</v>
      </c>
      <c r="B7" s="9">
        <v>65</v>
      </c>
      <c r="C7" s="208" t="s">
        <v>260</v>
      </c>
    </row>
    <row r="8" spans="1:3" ht="27" customHeight="1" x14ac:dyDescent="0.85">
      <c r="A8" s="8" t="s">
        <v>205</v>
      </c>
      <c r="B8" s="9">
        <v>58</v>
      </c>
      <c r="C8" s="208" t="s">
        <v>261</v>
      </c>
    </row>
    <row r="9" spans="1:3" ht="27" customHeight="1" x14ac:dyDescent="0.85">
      <c r="A9" s="60" t="s">
        <v>1</v>
      </c>
      <c r="B9" s="160"/>
      <c r="C9" s="160"/>
    </row>
    <row r="10" spans="1:3" ht="27" customHeight="1" x14ac:dyDescent="0.85">
      <c r="A10" s="8" t="s">
        <v>206</v>
      </c>
      <c r="B10" s="9">
        <v>60</v>
      </c>
      <c r="C10" s="208" t="s">
        <v>262</v>
      </c>
    </row>
    <row r="11" spans="1:3" ht="27" customHeight="1" x14ac:dyDescent="0.85">
      <c r="A11" s="8" t="s">
        <v>207</v>
      </c>
      <c r="B11" s="9">
        <v>60</v>
      </c>
      <c r="C11" s="208" t="s">
        <v>263</v>
      </c>
    </row>
    <row r="12" spans="1:3" ht="27" customHeight="1" x14ac:dyDescent="0.85">
      <c r="A12" s="8" t="s">
        <v>208</v>
      </c>
      <c r="B12" s="9">
        <v>60</v>
      </c>
      <c r="C12" s="208" t="s">
        <v>264</v>
      </c>
    </row>
    <row r="13" spans="1:3" ht="27" customHeight="1" x14ac:dyDescent="0.85">
      <c r="A13" s="8" t="s">
        <v>209</v>
      </c>
      <c r="B13" s="9">
        <v>58</v>
      </c>
      <c r="C13" s="208" t="s">
        <v>265</v>
      </c>
    </row>
    <row r="14" spans="1:3" ht="27" customHeight="1" x14ac:dyDescent="0.85">
      <c r="A14" s="61" t="s">
        <v>210</v>
      </c>
      <c r="B14" s="161"/>
      <c r="C14" s="161"/>
    </row>
    <row r="15" spans="1:3" ht="27" customHeight="1" x14ac:dyDescent="0.85">
      <c r="A15" s="8" t="s">
        <v>211</v>
      </c>
      <c r="B15" s="9">
        <v>60</v>
      </c>
      <c r="C15" s="208" t="s">
        <v>266</v>
      </c>
    </row>
    <row r="16" spans="1:3" ht="27" customHeight="1" x14ac:dyDescent="0.85">
      <c r="A16" s="8" t="s">
        <v>212</v>
      </c>
      <c r="B16" s="9">
        <v>60</v>
      </c>
      <c r="C16" s="208" t="s">
        <v>267</v>
      </c>
    </row>
    <row r="17" spans="1:3" ht="27" customHeight="1" x14ac:dyDescent="0.85">
      <c r="A17" s="8" t="s">
        <v>213</v>
      </c>
      <c r="B17" s="9">
        <v>65</v>
      </c>
      <c r="C17" s="208" t="s">
        <v>268</v>
      </c>
    </row>
    <row r="18" spans="1:3" ht="27" customHeight="1" x14ac:dyDescent="0.85">
      <c r="A18" s="8" t="s">
        <v>214</v>
      </c>
      <c r="B18" s="9">
        <v>58</v>
      </c>
      <c r="C18" s="208" t="s">
        <v>269</v>
      </c>
    </row>
    <row r="19" spans="1:3" ht="27" customHeight="1" x14ac:dyDescent="0.85">
      <c r="A19" s="8" t="s">
        <v>253</v>
      </c>
      <c r="B19" s="9">
        <v>65</v>
      </c>
      <c r="C19" s="208" t="s">
        <v>270</v>
      </c>
    </row>
    <row r="20" spans="1:3" ht="27" customHeight="1" x14ac:dyDescent="0.85">
      <c r="A20" s="8" t="s">
        <v>254</v>
      </c>
      <c r="B20" s="9">
        <v>65</v>
      </c>
      <c r="C20" s="208" t="s">
        <v>271</v>
      </c>
    </row>
    <row r="21" spans="1:3" ht="27" customHeight="1" x14ac:dyDescent="0.85">
      <c r="A21" s="62" t="s">
        <v>215</v>
      </c>
      <c r="B21" s="162"/>
      <c r="C21" s="162"/>
    </row>
    <row r="22" spans="1:3" ht="27" customHeight="1" x14ac:dyDescent="0.85">
      <c r="A22" s="8" t="s">
        <v>216</v>
      </c>
      <c r="B22" s="9">
        <v>60</v>
      </c>
      <c r="C22" s="208" t="s">
        <v>272</v>
      </c>
    </row>
    <row r="23" spans="1:3" ht="27" customHeight="1" x14ac:dyDescent="0.85">
      <c r="A23" s="8" t="s">
        <v>217</v>
      </c>
      <c r="B23" s="9">
        <v>58</v>
      </c>
      <c r="C23" s="208" t="s">
        <v>273</v>
      </c>
    </row>
    <row r="24" spans="1:3" ht="27" customHeight="1" x14ac:dyDescent="0.85">
      <c r="A24" s="8" t="s">
        <v>218</v>
      </c>
      <c r="B24" s="9">
        <v>58</v>
      </c>
      <c r="C24" s="208" t="s">
        <v>274</v>
      </c>
    </row>
    <row r="25" spans="1:3" ht="27" customHeight="1" x14ac:dyDescent="0.85">
      <c r="A25" s="8" t="s">
        <v>219</v>
      </c>
      <c r="B25" s="9">
        <v>58</v>
      </c>
      <c r="C25" s="208" t="s">
        <v>275</v>
      </c>
    </row>
    <row r="26" spans="1:3" ht="27" customHeight="1" x14ac:dyDescent="0.85">
      <c r="A26" s="63" t="s">
        <v>416</v>
      </c>
      <c r="B26" s="163"/>
      <c r="C26" s="163"/>
    </row>
    <row r="27" spans="1:3" ht="27" customHeight="1" x14ac:dyDescent="0.85">
      <c r="A27" s="8" t="s">
        <v>220</v>
      </c>
      <c r="B27" s="9">
        <v>65</v>
      </c>
      <c r="C27" s="208" t="s">
        <v>276</v>
      </c>
    </row>
    <row r="28" spans="1:3" ht="27" customHeight="1" x14ac:dyDescent="0.85">
      <c r="A28" s="8" t="s">
        <v>221</v>
      </c>
      <c r="B28" s="9">
        <v>65</v>
      </c>
      <c r="C28" s="208" t="s">
        <v>276</v>
      </c>
    </row>
    <row r="29" spans="1:3" ht="27" customHeight="1" x14ac:dyDescent="0.85">
      <c r="A29" s="8" t="s">
        <v>255</v>
      </c>
      <c r="B29" s="9">
        <v>65</v>
      </c>
      <c r="C29" s="208" t="s">
        <v>277</v>
      </c>
    </row>
    <row r="30" spans="1:3" ht="27" customHeight="1" x14ac:dyDescent="0.85">
      <c r="A30" s="8" t="s">
        <v>256</v>
      </c>
      <c r="B30" s="9">
        <v>65</v>
      </c>
      <c r="C30" s="208" t="s">
        <v>279</v>
      </c>
    </row>
    <row r="31" spans="1:3" ht="27" customHeight="1" x14ac:dyDescent="0.85">
      <c r="A31" s="8" t="s">
        <v>743</v>
      </c>
      <c r="B31" s="9">
        <v>65</v>
      </c>
      <c r="C31" s="208" t="s">
        <v>699</v>
      </c>
    </row>
    <row r="32" spans="1:3" ht="27" customHeight="1" x14ac:dyDescent="0.85">
      <c r="A32" s="8" t="s">
        <v>257</v>
      </c>
      <c r="B32" s="9">
        <v>65</v>
      </c>
      <c r="C32" s="208" t="s">
        <v>280</v>
      </c>
    </row>
    <row r="33" spans="1:3" ht="27" customHeight="1" x14ac:dyDescent="0.85">
      <c r="A33" s="8" t="s">
        <v>222</v>
      </c>
      <c r="B33" s="9">
        <v>65</v>
      </c>
      <c r="C33" s="208" t="s">
        <v>278</v>
      </c>
    </row>
    <row r="34" spans="1:3" ht="27" customHeight="1" x14ac:dyDescent="0.85">
      <c r="A34" s="8" t="s">
        <v>223</v>
      </c>
      <c r="B34" s="9">
        <v>70</v>
      </c>
      <c r="C34" s="208" t="s">
        <v>281</v>
      </c>
    </row>
    <row r="35" spans="1:3" ht="27" customHeight="1" x14ac:dyDescent="0.85">
      <c r="A35" s="64" t="s">
        <v>417</v>
      </c>
      <c r="B35" s="164"/>
      <c r="C35" s="164"/>
    </row>
    <row r="36" spans="1:3" ht="27" customHeight="1" x14ac:dyDescent="0.85">
      <c r="A36" s="8" t="s">
        <v>224</v>
      </c>
      <c r="B36" s="9">
        <v>60</v>
      </c>
      <c r="C36" s="208" t="s">
        <v>282</v>
      </c>
    </row>
    <row r="37" spans="1:3" ht="27" customHeight="1" x14ac:dyDescent="0.85">
      <c r="A37" s="8" t="s">
        <v>225</v>
      </c>
      <c r="B37" s="9">
        <v>60</v>
      </c>
      <c r="C37" s="208" t="s">
        <v>283</v>
      </c>
    </row>
    <row r="38" spans="1:3" ht="27" customHeight="1" x14ac:dyDescent="0.85">
      <c r="A38" s="8" t="s">
        <v>226</v>
      </c>
      <c r="B38" s="9">
        <v>60</v>
      </c>
      <c r="C38" s="208" t="s">
        <v>284</v>
      </c>
    </row>
    <row r="39" spans="1:3" ht="27" customHeight="1" x14ac:dyDescent="0.85">
      <c r="A39" s="8" t="s">
        <v>227</v>
      </c>
      <c r="B39" s="9">
        <v>60</v>
      </c>
      <c r="C39" s="208" t="s">
        <v>285</v>
      </c>
    </row>
    <row r="40" spans="1:3" ht="27" customHeight="1" x14ac:dyDescent="0.85">
      <c r="A40" s="8" t="s">
        <v>233</v>
      </c>
      <c r="B40" s="9">
        <v>60</v>
      </c>
      <c r="C40" s="208" t="s">
        <v>286</v>
      </c>
    </row>
    <row r="41" spans="1:3" ht="27" customHeight="1" x14ac:dyDescent="0.85">
      <c r="A41" s="8" t="s">
        <v>234</v>
      </c>
      <c r="B41" s="9">
        <v>60</v>
      </c>
      <c r="C41" s="208" t="s">
        <v>286</v>
      </c>
    </row>
    <row r="42" spans="1:3" ht="27" customHeight="1" x14ac:dyDescent="0.85">
      <c r="A42" s="8" t="s">
        <v>235</v>
      </c>
      <c r="B42" s="9">
        <v>60</v>
      </c>
      <c r="C42" s="208" t="s">
        <v>286</v>
      </c>
    </row>
    <row r="43" spans="1:3" ht="27" customHeight="1" x14ac:dyDescent="0.85">
      <c r="A43" s="8" t="s">
        <v>236</v>
      </c>
      <c r="B43" s="9">
        <v>60</v>
      </c>
      <c r="C43" s="208" t="s">
        <v>286</v>
      </c>
    </row>
    <row r="44" spans="1:3" ht="27" customHeight="1" x14ac:dyDescent="0.85">
      <c r="A44" s="8" t="s">
        <v>237</v>
      </c>
      <c r="B44" s="9">
        <v>60</v>
      </c>
      <c r="C44" s="208" t="s">
        <v>286</v>
      </c>
    </row>
    <row r="45" spans="1:3" ht="27" customHeight="1" x14ac:dyDescent="0.85">
      <c r="A45" s="65" t="s">
        <v>252</v>
      </c>
      <c r="B45" s="165"/>
      <c r="C45" s="165"/>
    </row>
    <row r="46" spans="1:3" ht="27" customHeight="1" x14ac:dyDescent="0.85">
      <c r="A46" s="8" t="s">
        <v>229</v>
      </c>
      <c r="B46" s="9">
        <v>62</v>
      </c>
      <c r="C46" s="208" t="s">
        <v>287</v>
      </c>
    </row>
    <row r="47" spans="1:3" ht="27" customHeight="1" x14ac:dyDescent="0.85">
      <c r="A47" s="66" t="s">
        <v>228</v>
      </c>
      <c r="B47" s="166"/>
      <c r="C47" s="166"/>
    </row>
    <row r="48" spans="1:3" ht="27" customHeight="1" x14ac:dyDescent="0.85">
      <c r="A48" s="8" t="s">
        <v>230</v>
      </c>
      <c r="B48" s="9">
        <v>55</v>
      </c>
      <c r="C48" s="208" t="s">
        <v>288</v>
      </c>
    </row>
    <row r="49" spans="1:3" ht="27" customHeight="1" x14ac:dyDescent="0.85">
      <c r="A49" s="8" t="s">
        <v>232</v>
      </c>
      <c r="B49" s="9">
        <v>55</v>
      </c>
      <c r="C49" s="208" t="s">
        <v>290</v>
      </c>
    </row>
    <row r="50" spans="1:3" ht="27" customHeight="1" x14ac:dyDescent="0.85">
      <c r="A50" s="8" t="s">
        <v>231</v>
      </c>
      <c r="B50" s="9">
        <v>55</v>
      </c>
      <c r="C50" s="208" t="s">
        <v>289</v>
      </c>
    </row>
    <row r="51" spans="1:3" ht="27" customHeight="1" x14ac:dyDescent="0.85">
      <c r="A51" s="67" t="s">
        <v>238</v>
      </c>
      <c r="B51" s="167"/>
      <c r="C51" s="167"/>
    </row>
    <row r="52" spans="1:3" ht="27" customHeight="1" x14ac:dyDescent="0.85">
      <c r="A52" s="8" t="s">
        <v>2</v>
      </c>
      <c r="B52" s="9">
        <v>55</v>
      </c>
      <c r="C52" s="208" t="s">
        <v>291</v>
      </c>
    </row>
    <row r="53" spans="1:3" ht="27" customHeight="1" x14ac:dyDescent="0.85">
      <c r="A53" s="157" t="s">
        <v>697</v>
      </c>
      <c r="B53" s="9">
        <v>60</v>
      </c>
      <c r="C53" s="208" t="s">
        <v>292</v>
      </c>
    </row>
    <row r="54" spans="1:3" ht="27" customHeight="1" x14ac:dyDescent="0.85">
      <c r="A54" s="8" t="s">
        <v>239</v>
      </c>
      <c r="B54" s="9">
        <v>60</v>
      </c>
      <c r="C54" s="208" t="s">
        <v>293</v>
      </c>
    </row>
    <row r="55" spans="1:3" ht="27" customHeight="1" x14ac:dyDescent="0.85">
      <c r="A55" s="8" t="s">
        <v>240</v>
      </c>
      <c r="B55" s="9">
        <v>60</v>
      </c>
      <c r="C55" s="208" t="s">
        <v>294</v>
      </c>
    </row>
    <row r="56" spans="1:3" ht="27" customHeight="1" x14ac:dyDescent="0.85">
      <c r="A56" s="8" t="s">
        <v>241</v>
      </c>
      <c r="B56" s="9">
        <v>60</v>
      </c>
      <c r="C56" s="208" t="s">
        <v>295</v>
      </c>
    </row>
    <row r="57" spans="1:3" ht="27" customHeight="1" x14ac:dyDescent="0.85">
      <c r="A57" s="8" t="s">
        <v>242</v>
      </c>
      <c r="B57" s="9">
        <v>60</v>
      </c>
      <c r="C57" s="208" t="s">
        <v>296</v>
      </c>
    </row>
    <row r="58" spans="1:3" ht="27" customHeight="1" x14ac:dyDescent="0.85">
      <c r="A58" s="8" t="s">
        <v>169</v>
      </c>
      <c r="B58" s="9">
        <v>60</v>
      </c>
      <c r="C58" s="208" t="s">
        <v>297</v>
      </c>
    </row>
    <row r="59" spans="1:3" ht="27" customHeight="1" x14ac:dyDescent="0.85">
      <c r="A59" s="8" t="s">
        <v>243</v>
      </c>
      <c r="B59" s="9">
        <v>60</v>
      </c>
      <c r="C59" s="208" t="s">
        <v>298</v>
      </c>
    </row>
    <row r="60" spans="1:3" ht="27" customHeight="1" x14ac:dyDescent="0.85">
      <c r="A60" s="8" t="s">
        <v>244</v>
      </c>
      <c r="B60" s="9">
        <v>60</v>
      </c>
      <c r="C60" s="208" t="s">
        <v>314</v>
      </c>
    </row>
    <row r="61" spans="1:3" ht="27" customHeight="1" x14ac:dyDescent="0.85">
      <c r="A61" s="8" t="s">
        <v>245</v>
      </c>
      <c r="B61" s="9">
        <v>60</v>
      </c>
      <c r="C61" s="208" t="s">
        <v>299</v>
      </c>
    </row>
    <row r="62" spans="1:3" ht="27" customHeight="1" x14ac:dyDescent="0.85">
      <c r="A62" s="8" t="s">
        <v>170</v>
      </c>
      <c r="B62" s="9">
        <v>60</v>
      </c>
      <c r="C62" s="208" t="s">
        <v>300</v>
      </c>
    </row>
    <row r="63" spans="1:3" ht="27" customHeight="1" x14ac:dyDescent="0.85">
      <c r="A63" s="8" t="s">
        <v>246</v>
      </c>
      <c r="B63" s="9">
        <v>60</v>
      </c>
      <c r="C63" s="208" t="s">
        <v>301</v>
      </c>
    </row>
    <row r="64" spans="1:3" ht="27" customHeight="1" x14ac:dyDescent="0.85">
      <c r="A64" s="8" t="s">
        <v>312</v>
      </c>
      <c r="B64" s="9">
        <v>60</v>
      </c>
      <c r="C64" s="208" t="s">
        <v>313</v>
      </c>
    </row>
    <row r="65" spans="1:3" ht="27" customHeight="1" x14ac:dyDescent="0.85">
      <c r="A65" s="8" t="s">
        <v>249</v>
      </c>
      <c r="B65" s="9">
        <v>60</v>
      </c>
      <c r="C65" s="208" t="s">
        <v>303</v>
      </c>
    </row>
    <row r="66" spans="1:3" ht="27" customHeight="1" x14ac:dyDescent="0.85">
      <c r="A66" s="8" t="s">
        <v>251</v>
      </c>
      <c r="B66" s="9">
        <v>60</v>
      </c>
      <c r="C66" s="208" t="s">
        <v>315</v>
      </c>
    </row>
    <row r="67" spans="1:3" ht="27" customHeight="1" x14ac:dyDescent="0.85">
      <c r="A67" s="8" t="s">
        <v>250</v>
      </c>
      <c r="B67" s="9">
        <v>60</v>
      </c>
      <c r="C67" s="208" t="s">
        <v>304</v>
      </c>
    </row>
    <row r="68" spans="1:3" ht="27" customHeight="1" x14ac:dyDescent="0.85">
      <c r="A68" s="8" t="s">
        <v>180</v>
      </c>
      <c r="B68" s="9">
        <v>60</v>
      </c>
      <c r="C68" s="208" t="s">
        <v>305</v>
      </c>
    </row>
    <row r="69" spans="1:3" ht="27" customHeight="1" x14ac:dyDescent="0.85">
      <c r="A69" s="8" t="s">
        <v>248</v>
      </c>
      <c r="B69" s="9">
        <v>60</v>
      </c>
      <c r="C69" s="208" t="s">
        <v>302</v>
      </c>
    </row>
    <row r="70" spans="1:3" ht="27" customHeight="1" x14ac:dyDescent="0.85">
      <c r="A70" s="8" t="s">
        <v>181</v>
      </c>
      <c r="B70" s="9">
        <v>60</v>
      </c>
      <c r="C70" s="208" t="s">
        <v>306</v>
      </c>
    </row>
    <row r="71" spans="1:3" ht="27" customHeight="1" x14ac:dyDescent="0.85">
      <c r="A71" s="8" t="s">
        <v>247</v>
      </c>
      <c r="B71" s="9">
        <v>60</v>
      </c>
      <c r="C71" s="208" t="s">
        <v>307</v>
      </c>
    </row>
    <row r="72" spans="1:3" ht="27" customHeight="1" x14ac:dyDescent="0.85">
      <c r="A72" s="8" t="s">
        <v>672</v>
      </c>
      <c r="B72" s="9">
        <v>60</v>
      </c>
      <c r="C72" s="208" t="s">
        <v>698</v>
      </c>
    </row>
    <row r="73" spans="1:3" ht="27" customHeight="1" x14ac:dyDescent="0.85">
      <c r="A73" s="8" t="s">
        <v>706</v>
      </c>
      <c r="B73" s="9">
        <v>60</v>
      </c>
      <c r="C73" s="208" t="s">
        <v>712</v>
      </c>
    </row>
    <row r="74" spans="1:3" ht="27" customHeight="1" x14ac:dyDescent="0.85">
      <c r="A74" s="8" t="s">
        <v>67</v>
      </c>
      <c r="B74" s="9">
        <v>60</v>
      </c>
      <c r="C74" s="208" t="s">
        <v>308</v>
      </c>
    </row>
  </sheetData>
  <hyperlinks>
    <hyperlink ref="A5" location="SBR!A1" display="SBR" xr:uid="{0D567010-723E-47F7-99A9-2177CC077A4E}"/>
    <hyperlink ref="A9" location="NBR!A1" display="NBR" xr:uid="{0C256372-563E-4A4D-8301-03B2F56132B4}"/>
    <hyperlink ref="A14" location="EPDM!A1" display="EPDM" xr:uid="{E9F7601D-3A52-46DF-92B0-A10EC809CD18}"/>
    <hyperlink ref="A21" location="CR!A1" display="CR" xr:uid="{7913450A-5A2A-4790-B4AA-D125050AAB82}"/>
    <hyperlink ref="A26" location="Para!A1" display="Para" xr:uid="{DEDDDF93-4C43-4CE9-B8C1-FF0C3B1AD352}"/>
    <hyperlink ref="A35" location="'Food Grade &amp; VMQ'!A1" display="Food Grade &amp; VMQ" xr:uid="{AC7F616C-57D3-44E5-9BE5-C39CB582C712}"/>
    <hyperlink ref="A45" location="FKM!A1" display="FKM" xr:uid="{33D23EC2-E000-41EE-BD03-11A49D1C0D72}"/>
    <hyperlink ref="A47" location="FKM!A1" display="Various" xr:uid="{027C2026-32DF-43FB-B002-1773711FB91A}"/>
    <hyperlink ref="A51" location="Matting!A1" display="Matting" xr:uid="{4DE0387B-8CE9-4F74-B555-538F5B37A09C}"/>
  </hyperlinks>
  <printOptions horizontalCentered="1" headings="1"/>
  <pageMargins left="0.51181102362204722" right="0.51181102362204722" top="1.9291338582677167" bottom="0.86614173228346458" header="0" footer="0.11811023622047245"/>
  <pageSetup paperSize="9" fitToWidth="0" fitToHeight="0" orientation="portrait" r:id="rId1"/>
  <headerFooter scaleWithDoc="0">
    <oddHeader>&amp;C&amp;"Calibri,Standaard"&amp;K000000&amp;G</oddHeader>
    <oddFooter>&amp;L&amp;"Helvetica,Standaard"&amp;12&amp;K000000&amp;A&amp;C&amp;"Helvetica,Standaard"&amp;12&amp;K000000&amp;F&amp;R&amp;"Calibri,Standaard"&amp;K000000&amp;P van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9ADF"/>
    <pageSetUpPr fitToPage="1"/>
  </sheetPr>
  <dimension ref="A1:N108"/>
  <sheetViews>
    <sheetView topLeftCell="A95" zoomScale="60" zoomScaleNormal="60" workbookViewId="0">
      <selection sqref="A1:H108"/>
    </sheetView>
  </sheetViews>
  <sheetFormatPr defaultColWidth="22.5546875" defaultRowHeight="27" customHeight="1" x14ac:dyDescent="0.85"/>
  <cols>
    <col min="1" max="5" width="16.5546875" style="13" customWidth="1"/>
    <col min="6" max="6" width="20.5546875" style="99" customWidth="1"/>
    <col min="7" max="8" width="20.5546875" style="85" customWidth="1"/>
    <col min="9" max="10" width="13.5546875" style="11" customWidth="1"/>
    <col min="11" max="11" width="22.5546875" style="11"/>
    <col min="12" max="12" width="13.5" style="12" customWidth="1"/>
    <col min="13" max="16384" width="22.5546875" style="11"/>
  </cols>
  <sheetData>
    <row r="1" spans="1:14" ht="40.5" customHeight="1" thickBot="1" x14ac:dyDescent="0.9">
      <c r="A1" s="210" t="s">
        <v>324</v>
      </c>
      <c r="B1" s="210"/>
      <c r="C1" s="88"/>
      <c r="D1" s="88"/>
      <c r="E1" s="29"/>
      <c r="F1" s="90"/>
      <c r="G1" s="77"/>
      <c r="H1" s="77"/>
    </row>
    <row r="2" spans="1:14" ht="40.5" customHeight="1" thickTop="1" thickBot="1" x14ac:dyDescent="0.9">
      <c r="A2" s="86" t="s">
        <v>203</v>
      </c>
      <c r="B2" s="30"/>
      <c r="C2" s="30"/>
      <c r="D2" s="30"/>
      <c r="E2" s="30"/>
      <c r="F2" s="91"/>
      <c r="G2" s="78"/>
      <c r="H2" s="110" t="s">
        <v>323</v>
      </c>
      <c r="J2" s="13"/>
      <c r="L2" s="11"/>
      <c r="N2" s="12"/>
    </row>
    <row r="3" spans="1:14" s="25" customFormat="1" ht="54" customHeight="1" thickTop="1" thickBot="1" x14ac:dyDescent="0.9">
      <c r="A3" s="31" t="s">
        <v>320</v>
      </c>
      <c r="B3" s="31" t="s">
        <v>171</v>
      </c>
      <c r="C3" s="31" t="s">
        <v>325</v>
      </c>
      <c r="D3" s="31" t="s">
        <v>321</v>
      </c>
      <c r="E3" s="31" t="s">
        <v>311</v>
      </c>
      <c r="F3" s="92" t="s">
        <v>322</v>
      </c>
      <c r="G3" s="79" t="s">
        <v>179</v>
      </c>
      <c r="H3" s="79" t="s">
        <v>199</v>
      </c>
      <c r="J3" s="28"/>
      <c r="N3" s="26"/>
    </row>
    <row r="4" spans="1:14" ht="27" customHeight="1" thickTop="1" x14ac:dyDescent="0.85">
      <c r="A4" s="16">
        <v>1</v>
      </c>
      <c r="B4" s="16" t="s">
        <v>168</v>
      </c>
      <c r="C4" s="16" t="s">
        <v>168</v>
      </c>
      <c r="D4" s="16">
        <v>1.4</v>
      </c>
      <c r="E4" s="16">
        <v>10</v>
      </c>
      <c r="F4" s="93" t="s">
        <v>166</v>
      </c>
      <c r="G4" s="80">
        <v>8</v>
      </c>
      <c r="H4" s="80">
        <f>G4*((100-Discounts!$B$6)/100)</f>
        <v>3.2</v>
      </c>
      <c r="J4" s="13"/>
      <c r="L4" s="11"/>
      <c r="N4" s="12"/>
    </row>
    <row r="5" spans="1:14" ht="27" customHeight="1" x14ac:dyDescent="0.85">
      <c r="A5" s="18">
        <v>1</v>
      </c>
      <c r="B5" s="18" t="s">
        <v>168</v>
      </c>
      <c r="C5" s="18" t="s">
        <v>168</v>
      </c>
      <c r="D5" s="18">
        <v>1.4</v>
      </c>
      <c r="E5" s="18">
        <v>20</v>
      </c>
      <c r="F5" s="94" t="s">
        <v>166</v>
      </c>
      <c r="G5" s="81">
        <v>8</v>
      </c>
      <c r="H5" s="81">
        <f>G5*((100-Discounts!$B$6)/100)</f>
        <v>3.2</v>
      </c>
      <c r="J5" s="13"/>
      <c r="L5" s="11"/>
      <c r="N5" s="12"/>
    </row>
    <row r="6" spans="1:14" ht="27" customHeight="1" x14ac:dyDescent="0.85">
      <c r="A6" s="16">
        <v>1.5</v>
      </c>
      <c r="B6" s="16" t="s">
        <v>168</v>
      </c>
      <c r="C6" s="16" t="s">
        <v>168</v>
      </c>
      <c r="D6" s="16">
        <v>1.4</v>
      </c>
      <c r="E6" s="16">
        <v>15</v>
      </c>
      <c r="F6" s="93" t="s">
        <v>68</v>
      </c>
      <c r="G6" s="80">
        <v>9.5</v>
      </c>
      <c r="H6" s="80">
        <f>G6*((100-Discounts!$B$6)/100)</f>
        <v>3.8000000000000003</v>
      </c>
      <c r="J6" s="13"/>
      <c r="L6" s="11"/>
      <c r="N6" s="12"/>
    </row>
    <row r="7" spans="1:14" ht="27" customHeight="1" x14ac:dyDescent="0.85">
      <c r="A7" s="18">
        <v>1.5</v>
      </c>
      <c r="B7" s="18" t="s">
        <v>168</v>
      </c>
      <c r="C7" s="18" t="s">
        <v>168</v>
      </c>
      <c r="D7" s="18">
        <v>1.5</v>
      </c>
      <c r="E7" s="18">
        <v>15</v>
      </c>
      <c r="F7" s="94" t="s">
        <v>68</v>
      </c>
      <c r="G7" s="81">
        <v>9.5</v>
      </c>
      <c r="H7" s="81">
        <f>G7*((100-Discounts!$B$6)/100)</f>
        <v>3.8000000000000003</v>
      </c>
      <c r="J7" s="13"/>
      <c r="L7" s="11"/>
      <c r="N7" s="12"/>
    </row>
    <row r="8" spans="1:14" ht="27" customHeight="1" x14ac:dyDescent="0.85">
      <c r="A8" s="16">
        <v>2</v>
      </c>
      <c r="B8" s="16" t="s">
        <v>168</v>
      </c>
      <c r="C8" s="16" t="s">
        <v>168</v>
      </c>
      <c r="D8" s="16">
        <v>1.2</v>
      </c>
      <c r="E8" s="16">
        <v>10</v>
      </c>
      <c r="F8" s="93" t="s">
        <v>69</v>
      </c>
      <c r="G8" s="80">
        <v>12</v>
      </c>
      <c r="H8" s="80">
        <f>G8*((100-Discounts!$B$6)/100)</f>
        <v>4.8000000000000007</v>
      </c>
      <c r="J8" s="13"/>
      <c r="L8" s="11"/>
      <c r="N8" s="12"/>
    </row>
    <row r="9" spans="1:14" ht="27" customHeight="1" x14ac:dyDescent="0.85">
      <c r="A9" s="18">
        <v>2</v>
      </c>
      <c r="B9" s="18" t="s">
        <v>168</v>
      </c>
      <c r="C9" s="18" t="s">
        <v>168</v>
      </c>
      <c r="D9" s="18">
        <v>1.4</v>
      </c>
      <c r="E9" s="18">
        <v>10</v>
      </c>
      <c r="F9" s="94" t="s">
        <v>69</v>
      </c>
      <c r="G9" s="81">
        <v>12</v>
      </c>
      <c r="H9" s="81">
        <f>G9*((100-Discounts!$B$6)/100)</f>
        <v>4.8000000000000007</v>
      </c>
      <c r="J9" s="13"/>
      <c r="L9" s="11"/>
      <c r="N9" s="12"/>
    </row>
    <row r="10" spans="1:14" ht="27" customHeight="1" x14ac:dyDescent="0.85">
      <c r="A10" s="16">
        <v>2</v>
      </c>
      <c r="B10" s="16" t="s">
        <v>168</v>
      </c>
      <c r="C10" s="16" t="s">
        <v>168</v>
      </c>
      <c r="D10" s="16">
        <v>1.4</v>
      </c>
      <c r="E10" s="16">
        <v>20</v>
      </c>
      <c r="F10" s="93" t="s">
        <v>69</v>
      </c>
      <c r="G10" s="80">
        <v>12</v>
      </c>
      <c r="H10" s="80">
        <f>G10*((100-Discounts!$B$6)/100)</f>
        <v>4.8000000000000007</v>
      </c>
      <c r="J10" s="13"/>
      <c r="L10" s="11"/>
      <c r="N10" s="12"/>
    </row>
    <row r="11" spans="1:14" ht="27" customHeight="1" x14ac:dyDescent="0.85">
      <c r="A11" s="18">
        <v>3</v>
      </c>
      <c r="B11" s="18" t="s">
        <v>168</v>
      </c>
      <c r="C11" s="18" t="s">
        <v>168</v>
      </c>
      <c r="D11" s="18">
        <v>1.2</v>
      </c>
      <c r="E11" s="18">
        <v>10</v>
      </c>
      <c r="F11" s="94" t="s">
        <v>70</v>
      </c>
      <c r="G11" s="81">
        <v>17.25</v>
      </c>
      <c r="H11" s="81">
        <f>G11*((100-Discounts!$B$6)/100)</f>
        <v>6.9</v>
      </c>
      <c r="J11" s="13"/>
      <c r="L11" s="11"/>
      <c r="N11" s="12"/>
    </row>
    <row r="12" spans="1:14" ht="27" customHeight="1" x14ac:dyDescent="0.85">
      <c r="A12" s="16">
        <v>3</v>
      </c>
      <c r="B12" s="16" t="s">
        <v>168</v>
      </c>
      <c r="C12" s="16" t="s">
        <v>168</v>
      </c>
      <c r="D12" s="16">
        <v>1.4</v>
      </c>
      <c r="E12" s="16">
        <v>10</v>
      </c>
      <c r="F12" s="93" t="s">
        <v>70</v>
      </c>
      <c r="G12" s="80">
        <v>17.25</v>
      </c>
      <c r="H12" s="80">
        <f>G12*((100-Discounts!$B$6)/100)</f>
        <v>6.9</v>
      </c>
      <c r="J12" s="13"/>
      <c r="L12" s="11"/>
      <c r="N12" s="12"/>
    </row>
    <row r="13" spans="1:14" ht="27" customHeight="1" x14ac:dyDescent="0.85">
      <c r="A13" s="18">
        <v>3</v>
      </c>
      <c r="B13" s="18" t="s">
        <v>168</v>
      </c>
      <c r="C13" s="18" t="s">
        <v>168</v>
      </c>
      <c r="D13" s="18">
        <v>1.4</v>
      </c>
      <c r="E13" s="18">
        <v>20</v>
      </c>
      <c r="F13" s="94" t="s">
        <v>70</v>
      </c>
      <c r="G13" s="81">
        <v>17.25</v>
      </c>
      <c r="H13" s="81">
        <f>G13*((100-Discounts!$B$6)/100)</f>
        <v>6.9</v>
      </c>
      <c r="J13" s="13"/>
      <c r="L13" s="11"/>
      <c r="N13" s="12"/>
    </row>
    <row r="14" spans="1:14" ht="27" customHeight="1" x14ac:dyDescent="0.85">
      <c r="A14" s="16">
        <v>3</v>
      </c>
      <c r="B14" s="16" t="s">
        <v>168</v>
      </c>
      <c r="C14" s="16" t="s">
        <v>168</v>
      </c>
      <c r="D14" s="16">
        <v>1.8</v>
      </c>
      <c r="E14" s="16">
        <v>10</v>
      </c>
      <c r="F14" s="93" t="s">
        <v>70</v>
      </c>
      <c r="G14" s="80">
        <v>17.25</v>
      </c>
      <c r="H14" s="80">
        <f>G14*((100-Discounts!$B$6)/100)</f>
        <v>6.9</v>
      </c>
      <c r="J14" s="13"/>
      <c r="L14" s="11"/>
      <c r="N14" s="12"/>
    </row>
    <row r="15" spans="1:14" ht="27" customHeight="1" x14ac:dyDescent="0.85">
      <c r="A15" s="18">
        <v>4</v>
      </c>
      <c r="B15" s="18" t="s">
        <v>168</v>
      </c>
      <c r="C15" s="18" t="s">
        <v>168</v>
      </c>
      <c r="D15" s="18">
        <v>1.2</v>
      </c>
      <c r="E15" s="18">
        <v>10</v>
      </c>
      <c r="F15" s="94" t="s">
        <v>75</v>
      </c>
      <c r="G15" s="81">
        <v>22.75</v>
      </c>
      <c r="H15" s="81">
        <f>G15*((100-Discounts!$B$6)/100)</f>
        <v>9.1</v>
      </c>
      <c r="J15" s="13"/>
      <c r="L15" s="11"/>
      <c r="N15" s="12"/>
    </row>
    <row r="16" spans="1:14" ht="27" customHeight="1" x14ac:dyDescent="0.85">
      <c r="A16" s="16">
        <v>4</v>
      </c>
      <c r="B16" s="16" t="s">
        <v>168</v>
      </c>
      <c r="C16" s="16" t="s">
        <v>168</v>
      </c>
      <c r="D16" s="16">
        <v>1.4</v>
      </c>
      <c r="E16" s="16">
        <v>10</v>
      </c>
      <c r="F16" s="93" t="s">
        <v>75</v>
      </c>
      <c r="G16" s="80">
        <v>22.75</v>
      </c>
      <c r="H16" s="80">
        <f>G16*((100-Discounts!$B$6)/100)</f>
        <v>9.1</v>
      </c>
      <c r="J16" s="13"/>
      <c r="L16" s="11"/>
      <c r="N16" s="12"/>
    </row>
    <row r="17" spans="1:14" ht="27" customHeight="1" x14ac:dyDescent="0.85">
      <c r="A17" s="18">
        <v>5</v>
      </c>
      <c r="B17" s="18" t="s">
        <v>168</v>
      </c>
      <c r="C17" s="18" t="s">
        <v>168</v>
      </c>
      <c r="D17" s="18">
        <v>1.2</v>
      </c>
      <c r="E17" s="18">
        <v>10</v>
      </c>
      <c r="F17" s="94" t="s">
        <v>76</v>
      </c>
      <c r="G17" s="81">
        <v>28.25</v>
      </c>
      <c r="H17" s="81">
        <f>G17*((100-Discounts!$B$6)/100)</f>
        <v>11.3</v>
      </c>
      <c r="J17" s="13"/>
      <c r="L17" s="11"/>
      <c r="N17" s="12"/>
    </row>
    <row r="18" spans="1:14" ht="27" customHeight="1" x14ac:dyDescent="0.85">
      <c r="A18" s="16">
        <v>5</v>
      </c>
      <c r="B18" s="16" t="s">
        <v>168</v>
      </c>
      <c r="C18" s="16" t="s">
        <v>168</v>
      </c>
      <c r="D18" s="16">
        <v>1.4</v>
      </c>
      <c r="E18" s="16">
        <v>10</v>
      </c>
      <c r="F18" s="93" t="s">
        <v>76</v>
      </c>
      <c r="G18" s="80">
        <v>28.25</v>
      </c>
      <c r="H18" s="80">
        <f>G18*((100-Discounts!$B$6)/100)</f>
        <v>11.3</v>
      </c>
      <c r="J18" s="13"/>
      <c r="L18" s="11"/>
      <c r="N18" s="12"/>
    </row>
    <row r="19" spans="1:14" ht="27" customHeight="1" x14ac:dyDescent="0.85">
      <c r="A19" s="18">
        <v>6</v>
      </c>
      <c r="B19" s="18" t="s">
        <v>168</v>
      </c>
      <c r="C19" s="18" t="s">
        <v>168</v>
      </c>
      <c r="D19" s="18">
        <v>1.2</v>
      </c>
      <c r="E19" s="18">
        <v>10</v>
      </c>
      <c r="F19" s="94" t="s">
        <v>79</v>
      </c>
      <c r="G19" s="81">
        <v>33.75</v>
      </c>
      <c r="H19" s="81">
        <f>G19*((100-Discounts!$B$6)/100)</f>
        <v>13.5</v>
      </c>
      <c r="J19" s="13"/>
      <c r="L19" s="11"/>
      <c r="N19" s="12"/>
    </row>
    <row r="20" spans="1:14" ht="27" customHeight="1" x14ac:dyDescent="0.85">
      <c r="A20" s="16">
        <v>6</v>
      </c>
      <c r="B20" s="16" t="s">
        <v>168</v>
      </c>
      <c r="C20" s="16" t="s">
        <v>168</v>
      </c>
      <c r="D20" s="16">
        <v>1.4</v>
      </c>
      <c r="E20" s="16">
        <v>10</v>
      </c>
      <c r="F20" s="93" t="s">
        <v>79</v>
      </c>
      <c r="G20" s="80">
        <v>33.75</v>
      </c>
      <c r="H20" s="80">
        <f>G20*((100-Discounts!$B$6)/100)</f>
        <v>13.5</v>
      </c>
      <c r="J20" s="13"/>
      <c r="L20" s="11"/>
      <c r="N20" s="12"/>
    </row>
    <row r="21" spans="1:14" ht="27" customHeight="1" x14ac:dyDescent="0.85">
      <c r="A21" s="18">
        <v>8</v>
      </c>
      <c r="B21" s="18" t="s">
        <v>168</v>
      </c>
      <c r="C21" s="18" t="s">
        <v>168</v>
      </c>
      <c r="D21" s="18">
        <v>1.2</v>
      </c>
      <c r="E21" s="18">
        <v>10</v>
      </c>
      <c r="F21" s="94" t="s">
        <v>82</v>
      </c>
      <c r="G21" s="81">
        <v>44.5</v>
      </c>
      <c r="H21" s="81">
        <f>G21*((100-Discounts!$B$6)/100)</f>
        <v>17.8</v>
      </c>
      <c r="J21" s="13"/>
      <c r="L21" s="11"/>
      <c r="N21" s="12"/>
    </row>
    <row r="22" spans="1:14" ht="27" customHeight="1" x14ac:dyDescent="0.85">
      <c r="A22" s="16">
        <v>8</v>
      </c>
      <c r="B22" s="16" t="s">
        <v>168</v>
      </c>
      <c r="C22" s="16" t="s">
        <v>168</v>
      </c>
      <c r="D22" s="16">
        <v>1.4</v>
      </c>
      <c r="E22" s="16">
        <v>5</v>
      </c>
      <c r="F22" s="93" t="s">
        <v>82</v>
      </c>
      <c r="G22" s="80">
        <v>44.5</v>
      </c>
      <c r="H22" s="80">
        <f>G22*((100-Discounts!$B$6)/100)</f>
        <v>17.8</v>
      </c>
      <c r="J22" s="13"/>
      <c r="L22" s="11"/>
      <c r="N22" s="12"/>
    </row>
    <row r="23" spans="1:14" ht="27" customHeight="1" x14ac:dyDescent="0.85">
      <c r="A23" s="18">
        <v>8</v>
      </c>
      <c r="B23" s="18" t="s">
        <v>168</v>
      </c>
      <c r="C23" s="18" t="s">
        <v>168</v>
      </c>
      <c r="D23" s="18">
        <v>1.4</v>
      </c>
      <c r="E23" s="18">
        <v>10</v>
      </c>
      <c r="F23" s="94" t="s">
        <v>82</v>
      </c>
      <c r="G23" s="81">
        <v>44.5</v>
      </c>
      <c r="H23" s="81">
        <f>G23*((100-Discounts!$B$6)/100)</f>
        <v>17.8</v>
      </c>
      <c r="J23" s="13"/>
      <c r="L23" s="11"/>
      <c r="N23" s="12"/>
    </row>
    <row r="24" spans="1:14" ht="27" customHeight="1" x14ac:dyDescent="0.85">
      <c r="A24" s="16">
        <v>10</v>
      </c>
      <c r="B24" s="16" t="s">
        <v>168</v>
      </c>
      <c r="C24" s="16" t="s">
        <v>168</v>
      </c>
      <c r="D24" s="16">
        <v>1.2</v>
      </c>
      <c r="E24" s="16">
        <v>10</v>
      </c>
      <c r="F24" s="93" t="s">
        <v>84</v>
      </c>
      <c r="G24" s="80">
        <v>55</v>
      </c>
      <c r="H24" s="80">
        <f>G24*((100-Discounts!$B$6)/100)</f>
        <v>22</v>
      </c>
      <c r="J24" s="13"/>
      <c r="L24" s="11"/>
      <c r="N24" s="12"/>
    </row>
    <row r="25" spans="1:14" ht="27" customHeight="1" x14ac:dyDescent="0.85">
      <c r="A25" s="18">
        <v>10</v>
      </c>
      <c r="B25" s="18" t="s">
        <v>168</v>
      </c>
      <c r="C25" s="18" t="s">
        <v>168</v>
      </c>
      <c r="D25" s="18">
        <v>1.4</v>
      </c>
      <c r="E25" s="18">
        <v>5</v>
      </c>
      <c r="F25" s="94" t="s">
        <v>84</v>
      </c>
      <c r="G25" s="81">
        <v>55</v>
      </c>
      <c r="H25" s="81">
        <f>G25*((100-Discounts!$B$6)/100)</f>
        <v>22</v>
      </c>
      <c r="J25" s="13"/>
      <c r="L25" s="11"/>
      <c r="N25" s="12"/>
    </row>
    <row r="26" spans="1:14" ht="27" customHeight="1" x14ac:dyDescent="0.85">
      <c r="A26" s="16">
        <v>10</v>
      </c>
      <c r="B26" s="16" t="s">
        <v>168</v>
      </c>
      <c r="C26" s="16" t="s">
        <v>168</v>
      </c>
      <c r="D26" s="16">
        <v>1.4</v>
      </c>
      <c r="E26" s="16">
        <v>10</v>
      </c>
      <c r="F26" s="93" t="s">
        <v>84</v>
      </c>
      <c r="G26" s="80">
        <v>55</v>
      </c>
      <c r="H26" s="80">
        <f>G26*((100-Discounts!$B$6)/100)</f>
        <v>22</v>
      </c>
      <c r="J26" s="13"/>
      <c r="L26" s="11"/>
      <c r="N26" s="12"/>
    </row>
    <row r="27" spans="1:14" ht="27" customHeight="1" x14ac:dyDescent="0.85">
      <c r="A27" s="18">
        <v>10</v>
      </c>
      <c r="B27" s="18" t="s">
        <v>168</v>
      </c>
      <c r="C27" s="18" t="s">
        <v>168</v>
      </c>
      <c r="D27" s="18">
        <v>1.4</v>
      </c>
      <c r="E27" s="18">
        <v>20</v>
      </c>
      <c r="F27" s="94" t="s">
        <v>84</v>
      </c>
      <c r="G27" s="81">
        <v>55</v>
      </c>
      <c r="H27" s="81">
        <f>G27*((100-Discounts!$B$6)/100)</f>
        <v>22</v>
      </c>
      <c r="J27" s="13"/>
      <c r="L27" s="11"/>
      <c r="N27" s="12"/>
    </row>
    <row r="28" spans="1:14" ht="27" customHeight="1" x14ac:dyDescent="0.85">
      <c r="A28" s="16">
        <v>12</v>
      </c>
      <c r="B28" s="16" t="s">
        <v>168</v>
      </c>
      <c r="C28" s="16" t="s">
        <v>168</v>
      </c>
      <c r="D28" s="16">
        <v>1.4</v>
      </c>
      <c r="E28" s="16">
        <v>5</v>
      </c>
      <c r="F28" s="93" t="s">
        <v>86</v>
      </c>
      <c r="G28" s="80">
        <v>65.75</v>
      </c>
      <c r="H28" s="80">
        <f>G28*((100-Discounts!$B$6)/100)</f>
        <v>26.3</v>
      </c>
      <c r="J28" s="13"/>
      <c r="L28" s="11"/>
      <c r="N28" s="12"/>
    </row>
    <row r="29" spans="1:14" ht="27" customHeight="1" x14ac:dyDescent="0.85">
      <c r="A29" s="18">
        <v>15</v>
      </c>
      <c r="B29" s="18" t="s">
        <v>168</v>
      </c>
      <c r="C29" s="18" t="s">
        <v>168</v>
      </c>
      <c r="D29" s="18">
        <v>1.4</v>
      </c>
      <c r="E29" s="18">
        <v>5</v>
      </c>
      <c r="F29" s="94" t="s">
        <v>87</v>
      </c>
      <c r="G29" s="81">
        <v>81.25</v>
      </c>
      <c r="H29" s="81">
        <f>G29*((100-Discounts!$B$6)/100)</f>
        <v>32.5</v>
      </c>
      <c r="J29" s="13"/>
      <c r="L29" s="11"/>
      <c r="N29" s="12"/>
    </row>
    <row r="30" spans="1:14" ht="27" customHeight="1" x14ac:dyDescent="0.85">
      <c r="A30" s="16">
        <v>15</v>
      </c>
      <c r="B30" s="16" t="s">
        <v>168</v>
      </c>
      <c r="C30" s="16" t="s">
        <v>168</v>
      </c>
      <c r="D30" s="16">
        <v>1.4</v>
      </c>
      <c r="E30" s="16">
        <v>10</v>
      </c>
      <c r="F30" s="93" t="s">
        <v>87</v>
      </c>
      <c r="G30" s="80">
        <v>81.25</v>
      </c>
      <c r="H30" s="80">
        <f>G30*((100-Discounts!$B$6)/100)</f>
        <v>32.5</v>
      </c>
      <c r="J30" s="13"/>
      <c r="L30" s="11"/>
      <c r="N30" s="12"/>
    </row>
    <row r="31" spans="1:14" ht="27" customHeight="1" x14ac:dyDescent="0.85">
      <c r="A31" s="18">
        <v>20</v>
      </c>
      <c r="B31" s="18" t="s">
        <v>168</v>
      </c>
      <c r="C31" s="18" t="s">
        <v>168</v>
      </c>
      <c r="D31" s="18">
        <v>1.4</v>
      </c>
      <c r="E31" s="18">
        <v>5</v>
      </c>
      <c r="F31" s="94" t="s">
        <v>89</v>
      </c>
      <c r="G31" s="81">
        <v>108.25</v>
      </c>
      <c r="H31" s="81">
        <f>G31*((100-Discounts!$B$6)/100)</f>
        <v>43.300000000000004</v>
      </c>
      <c r="J31" s="13"/>
      <c r="L31" s="11"/>
      <c r="N31" s="12"/>
    </row>
    <row r="32" spans="1:14" ht="27" customHeight="1" x14ac:dyDescent="0.85">
      <c r="A32" s="16">
        <v>20</v>
      </c>
      <c r="B32" s="16" t="s">
        <v>168</v>
      </c>
      <c r="C32" s="16" t="s">
        <v>168</v>
      </c>
      <c r="D32" s="16">
        <v>1.4</v>
      </c>
      <c r="E32" s="16">
        <v>10</v>
      </c>
      <c r="F32" s="93" t="s">
        <v>89</v>
      </c>
      <c r="G32" s="80">
        <v>108.25</v>
      </c>
      <c r="H32" s="80">
        <f>G32*((100-Discounts!$B$6)/100)</f>
        <v>43.300000000000004</v>
      </c>
      <c r="J32" s="13"/>
      <c r="L32" s="11"/>
      <c r="N32" s="12"/>
    </row>
    <row r="33" spans="1:14" ht="27" customHeight="1" x14ac:dyDescent="0.85">
      <c r="A33" s="18">
        <v>25</v>
      </c>
      <c r="B33" s="18" t="s">
        <v>168</v>
      </c>
      <c r="C33" s="18" t="s">
        <v>168</v>
      </c>
      <c r="D33" s="18">
        <v>1.4</v>
      </c>
      <c r="E33" s="18">
        <v>5</v>
      </c>
      <c r="F33" s="94" t="s">
        <v>175</v>
      </c>
      <c r="G33" s="81">
        <v>133.5</v>
      </c>
      <c r="H33" s="81">
        <f>G33*((100-Discounts!$B$6)/100)</f>
        <v>53.400000000000006</v>
      </c>
      <c r="J33" s="13"/>
      <c r="L33" s="11"/>
      <c r="N33" s="12"/>
    </row>
    <row r="34" spans="1:14" ht="27" customHeight="1" thickBot="1" x14ac:dyDescent="0.9">
      <c r="A34" s="16">
        <v>30</v>
      </c>
      <c r="B34" s="16" t="s">
        <v>168</v>
      </c>
      <c r="C34" s="16" t="s">
        <v>168</v>
      </c>
      <c r="D34" s="16">
        <v>1.4</v>
      </c>
      <c r="E34" s="16">
        <v>5</v>
      </c>
      <c r="F34" s="93" t="s">
        <v>176</v>
      </c>
      <c r="G34" s="80">
        <v>166.75</v>
      </c>
      <c r="H34" s="80">
        <f>G34*((100-Discounts!$B$6)/100)</f>
        <v>66.7</v>
      </c>
      <c r="J34" s="13"/>
      <c r="L34" s="11"/>
      <c r="N34" s="12"/>
    </row>
    <row r="35" spans="1:14" ht="40.5" customHeight="1" thickTop="1" thickBot="1" x14ac:dyDescent="0.9">
      <c r="A35" s="86" t="s">
        <v>326</v>
      </c>
      <c r="B35" s="86"/>
      <c r="C35" s="89"/>
      <c r="D35" s="89"/>
      <c r="E35" s="89"/>
      <c r="F35" s="95"/>
      <c r="G35" s="111"/>
      <c r="H35" s="110" t="s">
        <v>323</v>
      </c>
      <c r="J35" s="13"/>
      <c r="L35" s="11"/>
      <c r="N35" s="12"/>
    </row>
    <row r="36" spans="1:14" ht="54" customHeight="1" thickTop="1" thickBot="1" x14ac:dyDescent="0.9">
      <c r="A36" s="31" t="s">
        <v>320</v>
      </c>
      <c r="B36" s="31" t="s">
        <v>171</v>
      </c>
      <c r="C36" s="31" t="s">
        <v>325</v>
      </c>
      <c r="D36" s="31" t="s">
        <v>321</v>
      </c>
      <c r="E36" s="31" t="s">
        <v>311</v>
      </c>
      <c r="F36" s="92" t="s">
        <v>322</v>
      </c>
      <c r="G36" s="79" t="s">
        <v>179</v>
      </c>
      <c r="H36" s="79" t="s">
        <v>199</v>
      </c>
      <c r="J36" s="13"/>
      <c r="L36" s="11"/>
      <c r="N36" s="12"/>
    </row>
    <row r="37" spans="1:14" ht="27" customHeight="1" thickTop="1" x14ac:dyDescent="0.85">
      <c r="A37" s="16">
        <v>1.5</v>
      </c>
      <c r="B37" s="16">
        <v>1</v>
      </c>
      <c r="C37" s="16" t="s">
        <v>172</v>
      </c>
      <c r="D37" s="16">
        <v>1.4</v>
      </c>
      <c r="E37" s="16">
        <v>15</v>
      </c>
      <c r="F37" s="93" t="s">
        <v>173</v>
      </c>
      <c r="G37" s="80">
        <v>11</v>
      </c>
      <c r="H37" s="80">
        <f>G37*((100-Discounts!$B$6)/100)</f>
        <v>4.4000000000000004</v>
      </c>
    </row>
    <row r="38" spans="1:14" ht="27" customHeight="1" x14ac:dyDescent="0.85">
      <c r="A38" s="18">
        <v>2</v>
      </c>
      <c r="B38" s="18">
        <v>1</v>
      </c>
      <c r="C38" s="18" t="s">
        <v>172</v>
      </c>
      <c r="D38" s="18">
        <v>1.2</v>
      </c>
      <c r="E38" s="18">
        <v>10</v>
      </c>
      <c r="F38" s="94" t="s">
        <v>174</v>
      </c>
      <c r="G38" s="81">
        <v>13.5</v>
      </c>
      <c r="H38" s="81">
        <f>G38*((100-Discounts!$B$6)/100)</f>
        <v>5.4</v>
      </c>
    </row>
    <row r="39" spans="1:14" ht="27" customHeight="1" x14ac:dyDescent="0.85">
      <c r="A39" s="16">
        <v>2</v>
      </c>
      <c r="B39" s="16">
        <v>1</v>
      </c>
      <c r="C39" s="16" t="s">
        <v>172</v>
      </c>
      <c r="D39" s="16">
        <v>1.4</v>
      </c>
      <c r="E39" s="16">
        <v>10</v>
      </c>
      <c r="F39" s="93" t="s">
        <v>174</v>
      </c>
      <c r="G39" s="80">
        <v>13.5</v>
      </c>
      <c r="H39" s="80">
        <f>G39*((100-Discounts!$B$6)/100)</f>
        <v>5.4</v>
      </c>
    </row>
    <row r="40" spans="1:14" ht="27" customHeight="1" x14ac:dyDescent="0.85">
      <c r="A40" s="18">
        <v>3</v>
      </c>
      <c r="B40" s="18">
        <v>1</v>
      </c>
      <c r="C40" s="18" t="s">
        <v>172</v>
      </c>
      <c r="D40" s="18">
        <v>1.2</v>
      </c>
      <c r="E40" s="18">
        <v>10</v>
      </c>
      <c r="F40" s="94" t="s">
        <v>71</v>
      </c>
      <c r="G40" s="81">
        <v>18.75</v>
      </c>
      <c r="H40" s="81">
        <f>G40*((100-Discounts!$B$6)/100)</f>
        <v>7.5</v>
      </c>
    </row>
    <row r="41" spans="1:14" ht="27" customHeight="1" x14ac:dyDescent="0.85">
      <c r="A41" s="16">
        <v>3</v>
      </c>
      <c r="B41" s="16">
        <v>1</v>
      </c>
      <c r="C41" s="16" t="s">
        <v>172</v>
      </c>
      <c r="D41" s="16">
        <v>1.4</v>
      </c>
      <c r="E41" s="16">
        <v>10</v>
      </c>
      <c r="F41" s="93" t="s">
        <v>71</v>
      </c>
      <c r="G41" s="80">
        <v>18.75</v>
      </c>
      <c r="H41" s="80">
        <f>G41*((100-Discounts!$B$6)/100)</f>
        <v>7.5</v>
      </c>
    </row>
    <row r="42" spans="1:14" ht="27" customHeight="1" x14ac:dyDescent="0.85">
      <c r="A42" s="18">
        <v>3</v>
      </c>
      <c r="B42" s="18">
        <v>1</v>
      </c>
      <c r="C42" s="18" t="s">
        <v>172</v>
      </c>
      <c r="D42" s="18">
        <v>1.5</v>
      </c>
      <c r="E42" s="18">
        <v>10</v>
      </c>
      <c r="F42" s="94" t="s">
        <v>71</v>
      </c>
      <c r="G42" s="81">
        <v>18.75</v>
      </c>
      <c r="H42" s="81">
        <f>G42*((100-Discounts!$B$6)/100)</f>
        <v>7.5</v>
      </c>
    </row>
    <row r="43" spans="1:14" ht="27" customHeight="1" x14ac:dyDescent="0.85">
      <c r="A43" s="16">
        <v>3</v>
      </c>
      <c r="B43" s="16">
        <v>2</v>
      </c>
      <c r="C43" s="16" t="s">
        <v>172</v>
      </c>
      <c r="D43" s="16">
        <v>1.2</v>
      </c>
      <c r="E43" s="16">
        <v>10</v>
      </c>
      <c r="F43" s="93" t="s">
        <v>72</v>
      </c>
      <c r="G43" s="80">
        <v>20.25</v>
      </c>
      <c r="H43" s="80">
        <f>G43*((100-Discounts!$B$6)/100)</f>
        <v>8.1</v>
      </c>
    </row>
    <row r="44" spans="1:14" ht="27" customHeight="1" x14ac:dyDescent="0.85">
      <c r="A44" s="18">
        <v>3</v>
      </c>
      <c r="B44" s="18">
        <v>2</v>
      </c>
      <c r="C44" s="18" t="s">
        <v>172</v>
      </c>
      <c r="D44" s="18">
        <v>1.4</v>
      </c>
      <c r="E44" s="18">
        <v>10</v>
      </c>
      <c r="F44" s="94" t="s">
        <v>72</v>
      </c>
      <c r="G44" s="81">
        <v>20.25</v>
      </c>
      <c r="H44" s="81">
        <f>G44*((100-Discounts!$B$6)/100)</f>
        <v>8.1</v>
      </c>
    </row>
    <row r="45" spans="1:14" ht="27" customHeight="1" x14ac:dyDescent="0.85">
      <c r="A45" s="16">
        <v>4</v>
      </c>
      <c r="B45" s="16">
        <v>1</v>
      </c>
      <c r="C45" s="16" t="s">
        <v>172</v>
      </c>
      <c r="D45" s="16">
        <v>1.2</v>
      </c>
      <c r="E45" s="16">
        <v>10</v>
      </c>
      <c r="F45" s="93" t="s">
        <v>73</v>
      </c>
      <c r="G45" s="80">
        <v>24.25</v>
      </c>
      <c r="H45" s="80">
        <f>G45*((100-Discounts!$B$6)/100)</f>
        <v>9.7000000000000011</v>
      </c>
    </row>
    <row r="46" spans="1:14" ht="27" customHeight="1" x14ac:dyDescent="0.85">
      <c r="A46" s="18">
        <v>4</v>
      </c>
      <c r="B46" s="18">
        <v>1</v>
      </c>
      <c r="C46" s="18" t="s">
        <v>172</v>
      </c>
      <c r="D46" s="18">
        <v>1.4</v>
      </c>
      <c r="E46" s="18">
        <v>10</v>
      </c>
      <c r="F46" s="94" t="s">
        <v>73</v>
      </c>
      <c r="G46" s="81">
        <v>24.25</v>
      </c>
      <c r="H46" s="81">
        <f>G46*((100-Discounts!$B$6)/100)</f>
        <v>9.7000000000000011</v>
      </c>
    </row>
    <row r="47" spans="1:14" ht="27" customHeight="1" x14ac:dyDescent="0.85">
      <c r="A47" s="16">
        <v>4</v>
      </c>
      <c r="B47" s="16">
        <v>2</v>
      </c>
      <c r="C47" s="16" t="s">
        <v>172</v>
      </c>
      <c r="D47" s="16">
        <v>1.2</v>
      </c>
      <c r="E47" s="16">
        <v>10</v>
      </c>
      <c r="F47" s="93" t="s">
        <v>74</v>
      </c>
      <c r="G47" s="80">
        <v>25.75</v>
      </c>
      <c r="H47" s="80">
        <f>G47*((100-Discounts!$B$6)/100)</f>
        <v>10.3</v>
      </c>
    </row>
    <row r="48" spans="1:14" ht="27" customHeight="1" x14ac:dyDescent="0.85">
      <c r="A48" s="18">
        <v>4</v>
      </c>
      <c r="B48" s="18">
        <v>2</v>
      </c>
      <c r="C48" s="18" t="s">
        <v>172</v>
      </c>
      <c r="D48" s="18">
        <v>1.4</v>
      </c>
      <c r="E48" s="18">
        <v>10</v>
      </c>
      <c r="F48" s="94" t="s">
        <v>74</v>
      </c>
      <c r="G48" s="81">
        <v>25.75</v>
      </c>
      <c r="H48" s="81">
        <f>G48*((100-Discounts!$B$6)/100)</f>
        <v>10.3</v>
      </c>
    </row>
    <row r="49" spans="1:8" ht="27" customHeight="1" x14ac:dyDescent="0.85">
      <c r="A49" s="16">
        <v>5</v>
      </c>
      <c r="B49" s="16">
        <v>1</v>
      </c>
      <c r="C49" s="16" t="s">
        <v>172</v>
      </c>
      <c r="D49" s="16">
        <v>1.2</v>
      </c>
      <c r="E49" s="16">
        <v>10</v>
      </c>
      <c r="F49" s="93" t="s">
        <v>77</v>
      </c>
      <c r="G49" s="80">
        <v>29.75</v>
      </c>
      <c r="H49" s="80">
        <f>G49*((100-Discounts!$B$6)/100)</f>
        <v>11.9</v>
      </c>
    </row>
    <row r="50" spans="1:8" ht="27" customHeight="1" x14ac:dyDescent="0.85">
      <c r="A50" s="18">
        <v>5</v>
      </c>
      <c r="B50" s="18">
        <v>1</v>
      </c>
      <c r="C50" s="18" t="s">
        <v>172</v>
      </c>
      <c r="D50" s="18">
        <v>1.4</v>
      </c>
      <c r="E50" s="18">
        <v>10</v>
      </c>
      <c r="F50" s="94" t="s">
        <v>77</v>
      </c>
      <c r="G50" s="81">
        <v>29.75</v>
      </c>
      <c r="H50" s="81">
        <f>G50*((100-Discounts!$B$6)/100)</f>
        <v>11.9</v>
      </c>
    </row>
    <row r="51" spans="1:8" ht="27" customHeight="1" x14ac:dyDescent="0.85">
      <c r="A51" s="16">
        <v>5</v>
      </c>
      <c r="B51" s="16">
        <v>1</v>
      </c>
      <c r="C51" s="16" t="s">
        <v>172</v>
      </c>
      <c r="D51" s="16">
        <v>1.5</v>
      </c>
      <c r="E51" s="16">
        <v>10</v>
      </c>
      <c r="F51" s="93" t="s">
        <v>77</v>
      </c>
      <c r="G51" s="80">
        <v>29.75</v>
      </c>
      <c r="H51" s="80">
        <f>G51*((100-Discounts!$B$6)/100)</f>
        <v>11.9</v>
      </c>
    </row>
    <row r="52" spans="1:8" ht="27" customHeight="1" x14ac:dyDescent="0.85">
      <c r="A52" s="18">
        <v>5</v>
      </c>
      <c r="B52" s="18">
        <v>2</v>
      </c>
      <c r="C52" s="18" t="s">
        <v>172</v>
      </c>
      <c r="D52" s="18">
        <v>1.2</v>
      </c>
      <c r="E52" s="18">
        <v>10</v>
      </c>
      <c r="F52" s="94" t="s">
        <v>78</v>
      </c>
      <c r="G52" s="81">
        <v>31.25</v>
      </c>
      <c r="H52" s="81">
        <f>G52*((100-Discounts!$B$6)/100)</f>
        <v>12.5</v>
      </c>
    </row>
    <row r="53" spans="1:8" ht="27" customHeight="1" x14ac:dyDescent="0.85">
      <c r="A53" s="16">
        <v>5</v>
      </c>
      <c r="B53" s="16">
        <v>2</v>
      </c>
      <c r="C53" s="16" t="s">
        <v>172</v>
      </c>
      <c r="D53" s="16">
        <v>1.4</v>
      </c>
      <c r="E53" s="16">
        <v>10</v>
      </c>
      <c r="F53" s="93" t="s">
        <v>78</v>
      </c>
      <c r="G53" s="80">
        <v>31.25</v>
      </c>
      <c r="H53" s="80">
        <f>G53*((100-Discounts!$B$6)/100)</f>
        <v>12.5</v>
      </c>
    </row>
    <row r="54" spans="1:8" ht="27" customHeight="1" x14ac:dyDescent="0.85">
      <c r="A54" s="18">
        <v>6</v>
      </c>
      <c r="B54" s="18">
        <v>1</v>
      </c>
      <c r="C54" s="18" t="s">
        <v>172</v>
      </c>
      <c r="D54" s="18">
        <v>1.2</v>
      </c>
      <c r="E54" s="18">
        <v>10</v>
      </c>
      <c r="F54" s="94" t="s">
        <v>80</v>
      </c>
      <c r="G54" s="81">
        <v>35.25</v>
      </c>
      <c r="H54" s="81">
        <f>G54*((100-Discounts!$B$6)/100)</f>
        <v>14.100000000000001</v>
      </c>
    </row>
    <row r="55" spans="1:8" ht="27" customHeight="1" x14ac:dyDescent="0.85">
      <c r="A55" s="16">
        <v>6</v>
      </c>
      <c r="B55" s="16">
        <v>1</v>
      </c>
      <c r="C55" s="16" t="s">
        <v>172</v>
      </c>
      <c r="D55" s="16">
        <v>1.4</v>
      </c>
      <c r="E55" s="16">
        <v>10</v>
      </c>
      <c r="F55" s="93" t="s">
        <v>80</v>
      </c>
      <c r="G55" s="80">
        <v>35.25</v>
      </c>
      <c r="H55" s="80">
        <f>G55*((100-Discounts!$B$6)/100)</f>
        <v>14.100000000000001</v>
      </c>
    </row>
    <row r="56" spans="1:8" ht="27" customHeight="1" x14ac:dyDescent="0.85">
      <c r="A56" s="18">
        <v>6</v>
      </c>
      <c r="B56" s="18">
        <v>2</v>
      </c>
      <c r="C56" s="18" t="s">
        <v>172</v>
      </c>
      <c r="D56" s="18">
        <v>1.2</v>
      </c>
      <c r="E56" s="18">
        <v>10</v>
      </c>
      <c r="F56" s="94" t="s">
        <v>81</v>
      </c>
      <c r="G56" s="81">
        <v>36.75</v>
      </c>
      <c r="H56" s="81">
        <f>G56*((100-Discounts!$B$6)/100)</f>
        <v>14.700000000000001</v>
      </c>
    </row>
    <row r="57" spans="1:8" ht="27" customHeight="1" x14ac:dyDescent="0.85">
      <c r="A57" s="16">
        <v>6</v>
      </c>
      <c r="B57" s="16">
        <v>2</v>
      </c>
      <c r="C57" s="16" t="s">
        <v>172</v>
      </c>
      <c r="D57" s="16">
        <v>1.4</v>
      </c>
      <c r="E57" s="16">
        <v>10</v>
      </c>
      <c r="F57" s="93" t="s">
        <v>81</v>
      </c>
      <c r="G57" s="80">
        <v>36.75</v>
      </c>
      <c r="H57" s="80">
        <f>G57*((100-Discounts!$B$6)/100)</f>
        <v>14.700000000000001</v>
      </c>
    </row>
    <row r="58" spans="1:8" ht="27" customHeight="1" x14ac:dyDescent="0.85">
      <c r="A58" s="18">
        <v>8</v>
      </c>
      <c r="B58" s="18">
        <v>2</v>
      </c>
      <c r="C58" s="18" t="s">
        <v>172</v>
      </c>
      <c r="D58" s="18">
        <v>1.2</v>
      </c>
      <c r="E58" s="18">
        <v>5</v>
      </c>
      <c r="F58" s="94" t="s">
        <v>83</v>
      </c>
      <c r="G58" s="81">
        <v>47.5</v>
      </c>
      <c r="H58" s="81">
        <f>G58*((100-Discounts!$B$6)/100)</f>
        <v>19</v>
      </c>
    </row>
    <row r="59" spans="1:8" ht="27" customHeight="1" x14ac:dyDescent="0.85">
      <c r="A59" s="16">
        <v>8</v>
      </c>
      <c r="B59" s="16">
        <v>2</v>
      </c>
      <c r="C59" s="16" t="s">
        <v>172</v>
      </c>
      <c r="D59" s="16">
        <v>1.2</v>
      </c>
      <c r="E59" s="16">
        <v>10</v>
      </c>
      <c r="F59" s="93" t="s">
        <v>83</v>
      </c>
      <c r="G59" s="80">
        <v>47.5</v>
      </c>
      <c r="H59" s="80">
        <f>G59*((100-Discounts!$B$6)/100)</f>
        <v>19</v>
      </c>
    </row>
    <row r="60" spans="1:8" ht="27" customHeight="1" x14ac:dyDescent="0.85">
      <c r="A60" s="18">
        <v>8</v>
      </c>
      <c r="B60" s="18">
        <v>2</v>
      </c>
      <c r="C60" s="18" t="s">
        <v>172</v>
      </c>
      <c r="D60" s="18">
        <v>1.4</v>
      </c>
      <c r="E60" s="18">
        <v>5</v>
      </c>
      <c r="F60" s="94" t="s">
        <v>83</v>
      </c>
      <c r="G60" s="81">
        <v>47.5</v>
      </c>
      <c r="H60" s="81">
        <f>G60*((100-Discounts!$B$6)/100)</f>
        <v>19</v>
      </c>
    </row>
    <row r="61" spans="1:8" ht="27" customHeight="1" x14ac:dyDescent="0.85">
      <c r="A61" s="16">
        <v>8</v>
      </c>
      <c r="B61" s="16">
        <v>2</v>
      </c>
      <c r="C61" s="16" t="s">
        <v>172</v>
      </c>
      <c r="D61" s="16">
        <v>1.4</v>
      </c>
      <c r="E61" s="16">
        <v>10</v>
      </c>
      <c r="F61" s="93" t="s">
        <v>83</v>
      </c>
      <c r="G61" s="80">
        <v>47.5</v>
      </c>
      <c r="H61" s="80">
        <f>G61*((100-Discounts!$B$6)/100)</f>
        <v>19</v>
      </c>
    </row>
    <row r="62" spans="1:8" ht="27" customHeight="1" x14ac:dyDescent="0.85">
      <c r="A62" s="18">
        <v>8</v>
      </c>
      <c r="B62" s="18">
        <v>2</v>
      </c>
      <c r="C62" s="18" t="s">
        <v>172</v>
      </c>
      <c r="D62" s="18">
        <v>1.5</v>
      </c>
      <c r="E62" s="18">
        <v>5</v>
      </c>
      <c r="F62" s="94" t="s">
        <v>83</v>
      </c>
      <c r="G62" s="81">
        <v>47.5</v>
      </c>
      <c r="H62" s="81">
        <f>G62*((100-Discounts!$B$6)/100)</f>
        <v>19</v>
      </c>
    </row>
    <row r="63" spans="1:8" ht="27" customHeight="1" x14ac:dyDescent="0.85">
      <c r="A63" s="16">
        <v>10</v>
      </c>
      <c r="B63" s="16">
        <v>2</v>
      </c>
      <c r="C63" s="16" t="s">
        <v>172</v>
      </c>
      <c r="D63" s="16">
        <v>1.2</v>
      </c>
      <c r="E63" s="16">
        <v>10</v>
      </c>
      <c r="F63" s="93" t="s">
        <v>85</v>
      </c>
      <c r="G63" s="80">
        <v>58</v>
      </c>
      <c r="H63" s="80">
        <f>G63*((100-Discounts!$B$6)/100)</f>
        <v>23.200000000000003</v>
      </c>
    </row>
    <row r="64" spans="1:8" ht="27" customHeight="1" thickBot="1" x14ac:dyDescent="0.9">
      <c r="A64" s="18">
        <v>10</v>
      </c>
      <c r="B64" s="18">
        <v>2</v>
      </c>
      <c r="C64" s="18" t="s">
        <v>172</v>
      </c>
      <c r="D64" s="18">
        <v>1.4</v>
      </c>
      <c r="E64" s="18">
        <v>5</v>
      </c>
      <c r="F64" s="94" t="s">
        <v>85</v>
      </c>
      <c r="G64" s="81">
        <v>58</v>
      </c>
      <c r="H64" s="81">
        <f>G64*((100-Discounts!$B$6)/100)</f>
        <v>23.200000000000003</v>
      </c>
    </row>
    <row r="65" spans="1:14" ht="40.5" customHeight="1" thickTop="1" thickBot="1" x14ac:dyDescent="0.9">
      <c r="A65" s="86" t="s">
        <v>331</v>
      </c>
      <c r="B65" s="86"/>
      <c r="C65" s="89"/>
      <c r="D65" s="89"/>
      <c r="E65" s="89"/>
      <c r="F65" s="95"/>
      <c r="G65" s="111"/>
      <c r="H65" s="110" t="s">
        <v>323</v>
      </c>
      <c r="J65" s="13"/>
      <c r="L65" s="11"/>
      <c r="N65" s="12"/>
    </row>
    <row r="66" spans="1:14" ht="54" customHeight="1" thickTop="1" thickBot="1" x14ac:dyDescent="0.9">
      <c r="A66" s="31" t="s">
        <v>320</v>
      </c>
      <c r="B66" s="31" t="s">
        <v>171</v>
      </c>
      <c r="C66" s="31" t="s">
        <v>325</v>
      </c>
      <c r="D66" s="31" t="s">
        <v>321</v>
      </c>
      <c r="E66" s="31" t="s">
        <v>311</v>
      </c>
      <c r="F66" s="92" t="s">
        <v>322</v>
      </c>
      <c r="G66" s="79" t="s">
        <v>179</v>
      </c>
      <c r="H66" s="79" t="s">
        <v>703</v>
      </c>
      <c r="J66" s="13"/>
      <c r="L66" s="11"/>
      <c r="N66" s="12"/>
    </row>
    <row r="67" spans="1:14" ht="27" customHeight="1" thickTop="1" x14ac:dyDescent="0.85">
      <c r="A67" s="16">
        <v>10</v>
      </c>
      <c r="B67" s="16" t="s">
        <v>168</v>
      </c>
      <c r="C67" s="16" t="s">
        <v>168</v>
      </c>
      <c r="D67" s="16">
        <v>1</v>
      </c>
      <c r="E67" s="16">
        <v>1</v>
      </c>
      <c r="F67" s="93" t="s">
        <v>165</v>
      </c>
      <c r="G67" s="80">
        <v>56.5</v>
      </c>
      <c r="H67" s="80">
        <f>G67*((100-Discounts!$B$6)/100)</f>
        <v>22.6</v>
      </c>
      <c r="I67" s="13"/>
      <c r="J67" s="13"/>
      <c r="L67" s="11"/>
      <c r="N67" s="12"/>
    </row>
    <row r="68" spans="1:14" ht="27" customHeight="1" x14ac:dyDescent="0.85">
      <c r="A68" s="18">
        <v>15</v>
      </c>
      <c r="B68" s="18" t="s">
        <v>168</v>
      </c>
      <c r="C68" s="18" t="s">
        <v>168</v>
      </c>
      <c r="D68" s="18">
        <v>1</v>
      </c>
      <c r="E68" s="18">
        <v>1</v>
      </c>
      <c r="F68" s="94" t="s">
        <v>88</v>
      </c>
      <c r="G68" s="81">
        <v>83.75</v>
      </c>
      <c r="H68" s="81">
        <f>G68*((100-Discounts!$B$6)/100)</f>
        <v>33.5</v>
      </c>
      <c r="I68" s="13"/>
      <c r="J68" s="13"/>
      <c r="L68" s="11"/>
      <c r="N68" s="12"/>
    </row>
    <row r="69" spans="1:14" ht="27" customHeight="1" x14ac:dyDescent="0.85">
      <c r="A69" s="16">
        <v>20</v>
      </c>
      <c r="B69" s="16" t="s">
        <v>168</v>
      </c>
      <c r="C69" s="16" t="s">
        <v>168</v>
      </c>
      <c r="D69" s="16">
        <v>1</v>
      </c>
      <c r="E69" s="16">
        <v>1</v>
      </c>
      <c r="F69" s="93" t="s">
        <v>90</v>
      </c>
      <c r="G69" s="80">
        <v>111.5</v>
      </c>
      <c r="H69" s="80">
        <f>G69*((100-Discounts!$B$6)/100)</f>
        <v>44.6</v>
      </c>
      <c r="I69" s="13"/>
      <c r="J69" s="13"/>
      <c r="L69" s="11"/>
      <c r="N69" s="12"/>
    </row>
    <row r="70" spans="1:14" ht="27" customHeight="1" x14ac:dyDescent="0.85">
      <c r="A70" s="18">
        <v>20</v>
      </c>
      <c r="B70" s="18" t="s">
        <v>168</v>
      </c>
      <c r="C70" s="18" t="s">
        <v>168</v>
      </c>
      <c r="D70" s="18">
        <v>1.5</v>
      </c>
      <c r="E70" s="18">
        <v>1</v>
      </c>
      <c r="F70" s="94" t="s">
        <v>327</v>
      </c>
      <c r="G70" s="81">
        <v>167.25</v>
      </c>
      <c r="H70" s="81">
        <f>G70*((100-Discounts!$B$6)/100)</f>
        <v>66.900000000000006</v>
      </c>
      <c r="I70" s="13"/>
      <c r="J70" s="13"/>
      <c r="L70" s="11"/>
      <c r="N70" s="12"/>
    </row>
    <row r="71" spans="1:14" ht="27" customHeight="1" x14ac:dyDescent="0.85">
      <c r="A71" s="16">
        <v>25</v>
      </c>
      <c r="B71" s="16" t="s">
        <v>168</v>
      </c>
      <c r="C71" s="16" t="s">
        <v>168</v>
      </c>
      <c r="D71" s="16">
        <v>1</v>
      </c>
      <c r="E71" s="16">
        <v>1</v>
      </c>
      <c r="F71" s="93" t="s">
        <v>91</v>
      </c>
      <c r="G71" s="80">
        <v>137.5</v>
      </c>
      <c r="H71" s="80">
        <f>G71*((100-Discounts!$B$6)/100)</f>
        <v>55</v>
      </c>
      <c r="I71" s="13"/>
      <c r="J71" s="13"/>
      <c r="L71" s="11"/>
      <c r="N71" s="12"/>
    </row>
    <row r="72" spans="1:14" ht="27" customHeight="1" x14ac:dyDescent="0.85">
      <c r="A72" s="18">
        <v>25</v>
      </c>
      <c r="B72" s="18" t="s">
        <v>168</v>
      </c>
      <c r="C72" s="18" t="s">
        <v>168</v>
      </c>
      <c r="D72" s="18">
        <v>1.5</v>
      </c>
      <c r="E72" s="18">
        <v>1</v>
      </c>
      <c r="F72" s="94" t="s">
        <v>328</v>
      </c>
      <c r="G72" s="81">
        <v>206.25</v>
      </c>
      <c r="H72" s="81">
        <f>G72*((100-Discounts!$B$6)/100)</f>
        <v>82.5</v>
      </c>
      <c r="I72" s="13"/>
      <c r="J72" s="13"/>
      <c r="L72" s="11"/>
      <c r="N72" s="12"/>
    </row>
    <row r="73" spans="1:14" ht="27" customHeight="1" x14ac:dyDescent="0.85">
      <c r="A73" s="16">
        <v>30</v>
      </c>
      <c r="B73" s="16" t="s">
        <v>168</v>
      </c>
      <c r="C73" s="16" t="s">
        <v>168</v>
      </c>
      <c r="D73" s="16">
        <v>1</v>
      </c>
      <c r="E73" s="16">
        <v>1</v>
      </c>
      <c r="F73" s="93" t="s">
        <v>92</v>
      </c>
      <c r="G73" s="80">
        <v>171.75</v>
      </c>
      <c r="H73" s="80">
        <f>G73*((100-Discounts!$B$6)/100)</f>
        <v>68.7</v>
      </c>
      <c r="I73" s="13"/>
      <c r="J73" s="13"/>
      <c r="L73" s="11"/>
      <c r="N73" s="12"/>
    </row>
    <row r="74" spans="1:14" ht="27" customHeight="1" x14ac:dyDescent="0.85">
      <c r="A74" s="18">
        <v>30</v>
      </c>
      <c r="B74" s="18" t="s">
        <v>168</v>
      </c>
      <c r="C74" s="18" t="s">
        <v>168</v>
      </c>
      <c r="D74" s="18">
        <v>1.5</v>
      </c>
      <c r="E74" s="18">
        <v>1</v>
      </c>
      <c r="F74" s="94" t="s">
        <v>329</v>
      </c>
      <c r="G74" s="81">
        <v>257.75</v>
      </c>
      <c r="H74" s="81">
        <f>G74*((100-Discounts!$B$6)/100)</f>
        <v>103.10000000000001</v>
      </c>
      <c r="I74" s="13"/>
      <c r="J74" s="13"/>
      <c r="L74" s="11"/>
      <c r="N74" s="12"/>
    </row>
    <row r="75" spans="1:14" ht="27" customHeight="1" x14ac:dyDescent="0.85">
      <c r="A75" s="16">
        <v>40</v>
      </c>
      <c r="B75" s="16" t="s">
        <v>168</v>
      </c>
      <c r="C75" s="16" t="s">
        <v>168</v>
      </c>
      <c r="D75" s="16">
        <v>1</v>
      </c>
      <c r="E75" s="16">
        <v>1</v>
      </c>
      <c r="F75" s="93" t="s">
        <v>93</v>
      </c>
      <c r="G75" s="80">
        <v>241.25</v>
      </c>
      <c r="H75" s="80">
        <f>G75*((100-Discounts!$B$6)/100)</f>
        <v>96.5</v>
      </c>
      <c r="I75" s="13"/>
      <c r="J75" s="13"/>
      <c r="L75" s="11"/>
      <c r="N75" s="12"/>
    </row>
    <row r="76" spans="1:14" ht="27" customHeight="1" x14ac:dyDescent="0.85">
      <c r="A76" s="18">
        <v>40</v>
      </c>
      <c r="B76" s="18" t="s">
        <v>168</v>
      </c>
      <c r="C76" s="18" t="s">
        <v>168</v>
      </c>
      <c r="D76" s="18">
        <v>1.5</v>
      </c>
      <c r="E76" s="18">
        <v>1</v>
      </c>
      <c r="F76" s="94" t="s">
        <v>330</v>
      </c>
      <c r="G76" s="81">
        <v>362</v>
      </c>
      <c r="H76" s="81">
        <f>G76*((100-Discounts!$B$6)/100)</f>
        <v>144.80000000000001</v>
      </c>
      <c r="I76" s="13"/>
      <c r="J76" s="13"/>
      <c r="L76" s="11"/>
      <c r="N76" s="12"/>
    </row>
    <row r="77" spans="1:14" ht="27" customHeight="1" thickBot="1" x14ac:dyDescent="0.9">
      <c r="A77" s="16">
        <v>50</v>
      </c>
      <c r="B77" s="16" t="s">
        <v>168</v>
      </c>
      <c r="C77" s="16" t="s">
        <v>168</v>
      </c>
      <c r="D77" s="16">
        <v>1</v>
      </c>
      <c r="E77" s="16">
        <v>1</v>
      </c>
      <c r="F77" s="93" t="s">
        <v>94</v>
      </c>
      <c r="G77" s="80">
        <v>317</v>
      </c>
      <c r="H77" s="80">
        <f>G77*((100-Discounts!$B$6)/100)</f>
        <v>126.80000000000001</v>
      </c>
      <c r="I77" s="13"/>
      <c r="J77" s="13"/>
      <c r="L77" s="11"/>
      <c r="N77" s="12"/>
    </row>
    <row r="78" spans="1:14" ht="40.5" customHeight="1" thickTop="1" thickBot="1" x14ac:dyDescent="0.9">
      <c r="A78" s="87" t="s">
        <v>343</v>
      </c>
      <c r="B78" s="89"/>
      <c r="C78" s="89"/>
      <c r="D78" s="89"/>
      <c r="E78" s="89"/>
      <c r="F78" s="95"/>
      <c r="G78" s="111"/>
      <c r="H78" s="110" t="s">
        <v>323</v>
      </c>
      <c r="J78" s="13"/>
      <c r="L78" s="11"/>
      <c r="N78" s="12"/>
    </row>
    <row r="79" spans="1:14" s="25" customFormat="1" ht="54" customHeight="1" thickTop="1" thickBot="1" x14ac:dyDescent="0.9">
      <c r="A79" s="31" t="s">
        <v>320</v>
      </c>
      <c r="B79" s="32" t="s">
        <v>171</v>
      </c>
      <c r="C79" s="32" t="s">
        <v>325</v>
      </c>
      <c r="D79" s="32" t="s">
        <v>321</v>
      </c>
      <c r="E79" s="32" t="s">
        <v>311</v>
      </c>
      <c r="F79" s="96" t="s">
        <v>322</v>
      </c>
      <c r="G79" s="82" t="s">
        <v>179</v>
      </c>
      <c r="H79" s="82" t="s">
        <v>199</v>
      </c>
      <c r="I79" s="28"/>
      <c r="J79" s="28"/>
      <c r="N79" s="26"/>
    </row>
    <row r="80" spans="1:14" ht="27" customHeight="1" thickTop="1" x14ac:dyDescent="0.85">
      <c r="A80" s="16">
        <v>1</v>
      </c>
      <c r="B80" s="16" t="s">
        <v>168</v>
      </c>
      <c r="C80" s="16" t="s">
        <v>168</v>
      </c>
      <c r="D80" s="16">
        <v>1.4</v>
      </c>
      <c r="E80" s="16">
        <v>20</v>
      </c>
      <c r="F80" s="97" t="s">
        <v>332</v>
      </c>
      <c r="G80" s="83">
        <v>9</v>
      </c>
      <c r="H80" s="83">
        <f>G80*((100-Discounts!$B$7)/100)</f>
        <v>3.15</v>
      </c>
      <c r="I80" s="13"/>
      <c r="J80" s="13"/>
      <c r="L80" s="11"/>
      <c r="N80" s="12"/>
    </row>
    <row r="81" spans="1:14" ht="27" customHeight="1" x14ac:dyDescent="0.85">
      <c r="A81" s="18">
        <v>1.5</v>
      </c>
      <c r="B81" s="18" t="s">
        <v>168</v>
      </c>
      <c r="C81" s="18" t="s">
        <v>168</v>
      </c>
      <c r="D81" s="18">
        <v>1.4</v>
      </c>
      <c r="E81" s="18">
        <v>15</v>
      </c>
      <c r="F81" s="98" t="s">
        <v>333</v>
      </c>
      <c r="G81" s="84">
        <v>13</v>
      </c>
      <c r="H81" s="84">
        <f>G81*((100-Discounts!$B$7)/100)</f>
        <v>4.55</v>
      </c>
      <c r="I81" s="13"/>
      <c r="J81" s="13"/>
      <c r="L81" s="11"/>
      <c r="N81" s="12"/>
    </row>
    <row r="82" spans="1:14" ht="27" customHeight="1" x14ac:dyDescent="0.85">
      <c r="A82" s="16">
        <v>2</v>
      </c>
      <c r="B82" s="16" t="s">
        <v>168</v>
      </c>
      <c r="C82" s="16" t="s">
        <v>168</v>
      </c>
      <c r="D82" s="16">
        <v>1.4</v>
      </c>
      <c r="E82" s="16">
        <v>10</v>
      </c>
      <c r="F82" s="97" t="s">
        <v>334</v>
      </c>
      <c r="G82" s="83">
        <v>17</v>
      </c>
      <c r="H82" s="83">
        <f>G82*((100-Discounts!$B$7)/100)</f>
        <v>5.9499999999999993</v>
      </c>
      <c r="I82" s="13"/>
      <c r="J82" s="13"/>
      <c r="L82" s="11"/>
      <c r="N82" s="12"/>
    </row>
    <row r="83" spans="1:14" ht="27" customHeight="1" x14ac:dyDescent="0.85">
      <c r="A83" s="18">
        <v>3</v>
      </c>
      <c r="B83" s="18" t="s">
        <v>168</v>
      </c>
      <c r="C83" s="18" t="s">
        <v>168</v>
      </c>
      <c r="D83" s="18">
        <v>1.4</v>
      </c>
      <c r="E83" s="18">
        <v>10</v>
      </c>
      <c r="F83" s="98" t="s">
        <v>335</v>
      </c>
      <c r="G83" s="84">
        <v>24.5</v>
      </c>
      <c r="H83" s="84">
        <f>G83*((100-Discounts!$B$7)/100)</f>
        <v>8.5749999999999993</v>
      </c>
      <c r="I83" s="13"/>
      <c r="J83" s="13"/>
      <c r="L83" s="11"/>
      <c r="N83" s="12"/>
    </row>
    <row r="84" spans="1:14" ht="27" customHeight="1" x14ac:dyDescent="0.85">
      <c r="A84" s="16">
        <v>4</v>
      </c>
      <c r="B84" s="16" t="s">
        <v>168</v>
      </c>
      <c r="C84" s="16" t="s">
        <v>168</v>
      </c>
      <c r="D84" s="16">
        <v>1.4</v>
      </c>
      <c r="E84" s="16">
        <v>10</v>
      </c>
      <c r="F84" s="97" t="s">
        <v>336</v>
      </c>
      <c r="G84" s="83">
        <v>32.5</v>
      </c>
      <c r="H84" s="83">
        <f>G84*((100-Discounts!$B$7)/100)</f>
        <v>11.375</v>
      </c>
      <c r="I84" s="13"/>
      <c r="J84" s="13"/>
      <c r="L84" s="11"/>
      <c r="N84" s="12"/>
    </row>
    <row r="85" spans="1:14" ht="27" customHeight="1" x14ac:dyDescent="0.85">
      <c r="A85" s="18">
        <v>5</v>
      </c>
      <c r="B85" s="18" t="s">
        <v>168</v>
      </c>
      <c r="C85" s="18" t="s">
        <v>168</v>
      </c>
      <c r="D85" s="18">
        <v>1.4</v>
      </c>
      <c r="E85" s="18">
        <v>10</v>
      </c>
      <c r="F85" s="98" t="s">
        <v>337</v>
      </c>
      <c r="G85" s="84">
        <v>40.75</v>
      </c>
      <c r="H85" s="84">
        <f>G85*((100-Discounts!$B$7)/100)</f>
        <v>14.262499999999999</v>
      </c>
      <c r="I85" s="13"/>
      <c r="J85" s="13"/>
      <c r="L85" s="11"/>
      <c r="N85" s="12"/>
    </row>
    <row r="86" spans="1:14" ht="27" customHeight="1" x14ac:dyDescent="0.85">
      <c r="A86" s="16">
        <v>6</v>
      </c>
      <c r="B86" s="16" t="s">
        <v>168</v>
      </c>
      <c r="C86" s="16" t="s">
        <v>168</v>
      </c>
      <c r="D86" s="16">
        <v>1.4</v>
      </c>
      <c r="E86" s="16">
        <v>10</v>
      </c>
      <c r="F86" s="97" t="s">
        <v>338</v>
      </c>
      <c r="G86" s="83">
        <v>48</v>
      </c>
      <c r="H86" s="83">
        <f>G86*((100-Discounts!$B$7)/100)</f>
        <v>16.799999999999997</v>
      </c>
      <c r="I86" s="13"/>
      <c r="J86" s="13"/>
      <c r="L86" s="11"/>
      <c r="N86" s="12"/>
    </row>
    <row r="87" spans="1:14" ht="27" customHeight="1" x14ac:dyDescent="0.85">
      <c r="A87" s="18">
        <v>6</v>
      </c>
      <c r="B87" s="18" t="s">
        <v>168</v>
      </c>
      <c r="C87" s="18" t="s">
        <v>168</v>
      </c>
      <c r="D87" s="18">
        <v>1.5</v>
      </c>
      <c r="E87" s="18">
        <v>10</v>
      </c>
      <c r="F87" s="98" t="s">
        <v>338</v>
      </c>
      <c r="G87" s="84">
        <v>48</v>
      </c>
      <c r="H87" s="84">
        <f>G87*((100-Discounts!$B$7)/100)</f>
        <v>16.799999999999997</v>
      </c>
      <c r="I87" s="13"/>
      <c r="J87" s="13"/>
      <c r="L87" s="11"/>
      <c r="N87" s="12"/>
    </row>
    <row r="88" spans="1:14" ht="27" customHeight="1" x14ac:dyDescent="0.85">
      <c r="A88" s="16">
        <v>8</v>
      </c>
      <c r="B88" s="16" t="s">
        <v>168</v>
      </c>
      <c r="C88" s="16" t="s">
        <v>168</v>
      </c>
      <c r="D88" s="16">
        <v>1.4</v>
      </c>
      <c r="E88" s="16">
        <v>10</v>
      </c>
      <c r="F88" s="97" t="s">
        <v>339</v>
      </c>
      <c r="G88" s="83">
        <v>63.75</v>
      </c>
      <c r="H88" s="83">
        <f>G88*((100-Discounts!$B$7)/100)</f>
        <v>22.3125</v>
      </c>
      <c r="I88" s="13"/>
      <c r="J88" s="13"/>
      <c r="L88" s="11"/>
      <c r="N88" s="12"/>
    </row>
    <row r="89" spans="1:14" ht="27" customHeight="1" x14ac:dyDescent="0.85">
      <c r="A89" s="18">
        <v>8</v>
      </c>
      <c r="B89" s="18" t="s">
        <v>168</v>
      </c>
      <c r="C89" s="18" t="s">
        <v>168</v>
      </c>
      <c r="D89" s="18">
        <v>1.4</v>
      </c>
      <c r="E89" s="18">
        <v>20</v>
      </c>
      <c r="F89" s="98" t="s">
        <v>339</v>
      </c>
      <c r="G89" s="84">
        <v>63.75</v>
      </c>
      <c r="H89" s="84">
        <f>G89*((100-Discounts!$B$7)/100)</f>
        <v>22.3125</v>
      </c>
      <c r="I89" s="13"/>
      <c r="J89" s="13"/>
      <c r="L89" s="11"/>
      <c r="N89" s="12"/>
    </row>
    <row r="90" spans="1:14" ht="27" customHeight="1" x14ac:dyDescent="0.85">
      <c r="A90" s="16">
        <v>10</v>
      </c>
      <c r="B90" s="16" t="s">
        <v>168</v>
      </c>
      <c r="C90" s="16" t="s">
        <v>168</v>
      </c>
      <c r="D90" s="16">
        <v>1.4</v>
      </c>
      <c r="E90" s="16">
        <v>10</v>
      </c>
      <c r="F90" s="97" t="s">
        <v>340</v>
      </c>
      <c r="G90" s="83">
        <v>79.25</v>
      </c>
      <c r="H90" s="83">
        <f>G90*((100-Discounts!$B$7)/100)</f>
        <v>27.737499999999997</v>
      </c>
      <c r="I90" s="13"/>
      <c r="J90" s="13"/>
      <c r="L90" s="11"/>
      <c r="N90" s="12"/>
    </row>
    <row r="91" spans="1:14" ht="27" customHeight="1" x14ac:dyDescent="0.85">
      <c r="A91" s="18">
        <v>10</v>
      </c>
      <c r="B91" s="18" t="s">
        <v>168</v>
      </c>
      <c r="C91" s="18" t="s">
        <v>168</v>
      </c>
      <c r="D91" s="18">
        <v>1.4</v>
      </c>
      <c r="E91" s="18">
        <v>20</v>
      </c>
      <c r="F91" s="98" t="s">
        <v>340</v>
      </c>
      <c r="G91" s="84">
        <v>79.25</v>
      </c>
      <c r="H91" s="84">
        <f>G91*((100-Discounts!$B$7)/100)</f>
        <v>27.737499999999997</v>
      </c>
      <c r="I91" s="13"/>
      <c r="J91" s="13"/>
      <c r="L91" s="11"/>
      <c r="N91" s="12"/>
    </row>
    <row r="92" spans="1:14" ht="27" customHeight="1" x14ac:dyDescent="0.85">
      <c r="A92" s="16">
        <v>12</v>
      </c>
      <c r="B92" s="16" t="s">
        <v>168</v>
      </c>
      <c r="C92" s="16" t="s">
        <v>168</v>
      </c>
      <c r="D92" s="16">
        <v>1.4</v>
      </c>
      <c r="E92" s="16">
        <v>10</v>
      </c>
      <c r="F92" s="97" t="s">
        <v>341</v>
      </c>
      <c r="G92" s="83">
        <v>95</v>
      </c>
      <c r="H92" s="83">
        <f>G92*((100-Discounts!$B$7)/100)</f>
        <v>33.25</v>
      </c>
      <c r="I92" s="13"/>
      <c r="J92" s="13"/>
      <c r="L92" s="11"/>
      <c r="N92" s="12"/>
    </row>
    <row r="93" spans="1:14" ht="27" customHeight="1" thickBot="1" x14ac:dyDescent="0.9">
      <c r="A93" s="18">
        <v>15</v>
      </c>
      <c r="B93" s="18" t="s">
        <v>168</v>
      </c>
      <c r="C93" s="18" t="s">
        <v>168</v>
      </c>
      <c r="D93" s="18">
        <v>1.4</v>
      </c>
      <c r="E93" s="18">
        <v>10</v>
      </c>
      <c r="F93" s="98" t="s">
        <v>342</v>
      </c>
      <c r="G93" s="84">
        <v>118</v>
      </c>
      <c r="H93" s="84">
        <f>G93*((100-Discounts!$B$7)/100)</f>
        <v>41.3</v>
      </c>
      <c r="I93" s="13"/>
      <c r="J93" s="13"/>
      <c r="L93" s="11"/>
      <c r="N93" s="12"/>
    </row>
    <row r="94" spans="1:14" ht="40.5" customHeight="1" thickTop="1" thickBot="1" x14ac:dyDescent="0.9">
      <c r="A94" s="87" t="s">
        <v>343</v>
      </c>
      <c r="B94" s="89"/>
      <c r="C94" s="89"/>
      <c r="D94" s="89"/>
      <c r="E94" s="89"/>
      <c r="F94" s="95"/>
      <c r="G94" s="111"/>
      <c r="H94" s="110" t="s">
        <v>323</v>
      </c>
      <c r="J94" s="13"/>
      <c r="L94" s="11"/>
      <c r="N94" s="12"/>
    </row>
    <row r="95" spans="1:14" s="25" customFormat="1" ht="54" customHeight="1" thickTop="1" thickBot="1" x14ac:dyDescent="0.9">
      <c r="A95" s="31" t="s">
        <v>320</v>
      </c>
      <c r="B95" s="32" t="s">
        <v>171</v>
      </c>
      <c r="C95" s="32" t="s">
        <v>325</v>
      </c>
      <c r="D95" s="32" t="s">
        <v>321</v>
      </c>
      <c r="E95" s="32" t="s">
        <v>311</v>
      </c>
      <c r="F95" s="96" t="s">
        <v>322</v>
      </c>
      <c r="G95" s="82" t="s">
        <v>179</v>
      </c>
      <c r="H95" s="82" t="s">
        <v>199</v>
      </c>
      <c r="I95" s="28"/>
      <c r="J95" s="28"/>
      <c r="N95" s="26"/>
    </row>
    <row r="96" spans="1:14" ht="27" customHeight="1" thickTop="1" x14ac:dyDescent="0.85">
      <c r="A96" s="16">
        <v>4</v>
      </c>
      <c r="B96" s="16">
        <v>1</v>
      </c>
      <c r="C96" s="16" t="s">
        <v>344</v>
      </c>
      <c r="D96" s="16">
        <v>1.5</v>
      </c>
      <c r="E96" s="16">
        <v>15</v>
      </c>
      <c r="F96" s="19" t="s">
        <v>345</v>
      </c>
      <c r="G96" s="83">
        <v>41.5</v>
      </c>
      <c r="H96" s="83">
        <f>G96*((100-Discounts!$B$7)/100)</f>
        <v>14.524999999999999</v>
      </c>
      <c r="I96" s="13"/>
      <c r="J96" s="13"/>
      <c r="L96" s="11"/>
      <c r="N96" s="12"/>
    </row>
    <row r="97" spans="1:14" ht="27" customHeight="1" thickBot="1" x14ac:dyDescent="0.9">
      <c r="A97" s="18">
        <v>6</v>
      </c>
      <c r="B97" s="18">
        <v>2</v>
      </c>
      <c r="C97" s="18" t="s">
        <v>344</v>
      </c>
      <c r="D97" s="18">
        <v>1.5</v>
      </c>
      <c r="E97" s="18">
        <v>10</v>
      </c>
      <c r="F97" s="20" t="s">
        <v>346</v>
      </c>
      <c r="G97" s="84">
        <v>66</v>
      </c>
      <c r="H97" s="84">
        <f>G97*((100-Discounts!$B$7)/100)</f>
        <v>23.099999999999998</v>
      </c>
    </row>
    <row r="98" spans="1:14" ht="40.5" customHeight="1" thickTop="1" thickBot="1" x14ac:dyDescent="0.9">
      <c r="A98" s="86" t="s">
        <v>205</v>
      </c>
      <c r="B98" s="86"/>
      <c r="C98" s="89"/>
      <c r="D98" s="89"/>
      <c r="E98" s="89"/>
      <c r="F98" s="95"/>
      <c r="G98" s="111"/>
      <c r="H98" s="110" t="s">
        <v>323</v>
      </c>
      <c r="J98" s="13"/>
      <c r="L98" s="11"/>
      <c r="N98" s="12"/>
    </row>
    <row r="99" spans="1:14" ht="54" customHeight="1" thickTop="1" thickBot="1" x14ac:dyDescent="0.9">
      <c r="A99" s="31" t="s">
        <v>320</v>
      </c>
      <c r="B99" s="31" t="s">
        <v>171</v>
      </c>
      <c r="C99" s="31" t="s">
        <v>325</v>
      </c>
      <c r="D99" s="31" t="s">
        <v>321</v>
      </c>
      <c r="E99" s="31" t="s">
        <v>311</v>
      </c>
      <c r="F99" s="92" t="s">
        <v>322</v>
      </c>
      <c r="G99" s="79" t="s">
        <v>179</v>
      </c>
      <c r="H99" s="79" t="s">
        <v>199</v>
      </c>
      <c r="J99" s="13"/>
      <c r="L99" s="11"/>
      <c r="N99" s="12"/>
    </row>
    <row r="100" spans="1:14" ht="27" customHeight="1" thickTop="1" x14ac:dyDescent="0.85">
      <c r="A100" s="16">
        <v>2</v>
      </c>
      <c r="B100" s="16" t="s">
        <v>168</v>
      </c>
      <c r="C100" s="16" t="s">
        <v>168</v>
      </c>
      <c r="D100" s="16">
        <v>1.4</v>
      </c>
      <c r="E100" s="16">
        <v>10</v>
      </c>
      <c r="F100" s="19" t="s">
        <v>347</v>
      </c>
      <c r="G100" s="83">
        <v>16</v>
      </c>
      <c r="H100" s="83">
        <f>G100*((100-Discounts!$B$8)/100)</f>
        <v>6.72</v>
      </c>
      <c r="I100" s="13"/>
      <c r="J100" s="13"/>
      <c r="L100" s="11"/>
      <c r="N100" s="12"/>
    </row>
    <row r="101" spans="1:14" ht="27" customHeight="1" x14ac:dyDescent="0.85">
      <c r="A101" s="18">
        <v>3</v>
      </c>
      <c r="B101" s="18" t="s">
        <v>168</v>
      </c>
      <c r="C101" s="18" t="s">
        <v>168</v>
      </c>
      <c r="D101" s="18">
        <v>1.4</v>
      </c>
      <c r="E101" s="18">
        <v>10</v>
      </c>
      <c r="F101" s="20" t="s">
        <v>348</v>
      </c>
      <c r="G101" s="84">
        <v>23.25</v>
      </c>
      <c r="H101" s="84">
        <f>G101*((100-Discounts!$B$8)/100)</f>
        <v>9.7649999999999988</v>
      </c>
    </row>
    <row r="102" spans="1:14" ht="27" customHeight="1" x14ac:dyDescent="0.85">
      <c r="A102" s="16">
        <v>4</v>
      </c>
      <c r="B102" s="16" t="s">
        <v>168</v>
      </c>
      <c r="C102" s="16" t="s">
        <v>168</v>
      </c>
      <c r="D102" s="16">
        <v>1.4</v>
      </c>
      <c r="E102" s="16">
        <v>10</v>
      </c>
      <c r="F102" s="19" t="s">
        <v>349</v>
      </c>
      <c r="G102" s="83">
        <v>31</v>
      </c>
      <c r="H102" s="83">
        <f>G102*((100-Discounts!$B$8)/100)</f>
        <v>13.02</v>
      </c>
    </row>
    <row r="103" spans="1:14" ht="27" customHeight="1" x14ac:dyDescent="0.85">
      <c r="A103" s="18">
        <v>5</v>
      </c>
      <c r="B103" s="18" t="s">
        <v>168</v>
      </c>
      <c r="C103" s="18" t="s">
        <v>168</v>
      </c>
      <c r="D103" s="18">
        <v>1.4</v>
      </c>
      <c r="E103" s="18">
        <v>10</v>
      </c>
      <c r="F103" s="20" t="s">
        <v>350</v>
      </c>
      <c r="G103" s="84">
        <v>38.5</v>
      </c>
      <c r="H103" s="84">
        <f>G103*((100-Discounts!$B$8)/100)</f>
        <v>16.169999999999998</v>
      </c>
      <c r="I103" s="13"/>
      <c r="J103" s="13"/>
      <c r="L103" s="11"/>
      <c r="N103" s="12"/>
    </row>
    <row r="104" spans="1:14" ht="27" customHeight="1" x14ac:dyDescent="0.85">
      <c r="A104" s="16">
        <v>6</v>
      </c>
      <c r="B104" s="16" t="s">
        <v>168</v>
      </c>
      <c r="C104" s="16" t="s">
        <v>168</v>
      </c>
      <c r="D104" s="16">
        <v>1.4</v>
      </c>
      <c r="E104" s="16">
        <v>10</v>
      </c>
      <c r="F104" s="19" t="s">
        <v>351</v>
      </c>
      <c r="G104" s="83">
        <v>46.25</v>
      </c>
      <c r="H104" s="83">
        <f>G104*((100-Discounts!$B$8)/100)</f>
        <v>19.425000000000001</v>
      </c>
      <c r="I104" s="13"/>
      <c r="J104" s="13"/>
      <c r="L104" s="11"/>
      <c r="N104" s="12"/>
    </row>
    <row r="105" spans="1:14" ht="27" customHeight="1" x14ac:dyDescent="0.85">
      <c r="A105" s="18">
        <v>8</v>
      </c>
      <c r="B105" s="18" t="s">
        <v>168</v>
      </c>
      <c r="C105" s="18" t="s">
        <v>168</v>
      </c>
      <c r="D105" s="18">
        <v>1.4</v>
      </c>
      <c r="E105" s="18">
        <v>5</v>
      </c>
      <c r="F105" s="20" t="s">
        <v>352</v>
      </c>
      <c r="G105" s="84">
        <v>61</v>
      </c>
      <c r="H105" s="84">
        <f>G105*((100-Discounts!$B$8)/100)</f>
        <v>25.619999999999997</v>
      </c>
      <c r="I105" s="13"/>
      <c r="J105" s="13"/>
      <c r="L105" s="11"/>
      <c r="N105" s="12"/>
    </row>
    <row r="106" spans="1:14" ht="27" customHeight="1" x14ac:dyDescent="0.85">
      <c r="A106" s="16">
        <v>10</v>
      </c>
      <c r="B106" s="16" t="s">
        <v>168</v>
      </c>
      <c r="C106" s="16" t="s">
        <v>168</v>
      </c>
      <c r="D106" s="16">
        <v>1.4</v>
      </c>
      <c r="E106" s="16">
        <v>5</v>
      </c>
      <c r="F106" s="19" t="s">
        <v>353</v>
      </c>
      <c r="G106" s="83">
        <v>75.25</v>
      </c>
      <c r="H106" s="83">
        <f>G106*((100-Discounts!$B$8)/100)</f>
        <v>31.605</v>
      </c>
      <c r="I106" s="13"/>
      <c r="J106" s="13"/>
      <c r="L106" s="11"/>
      <c r="N106" s="12"/>
    </row>
    <row r="107" spans="1:14" ht="27" customHeight="1" x14ac:dyDescent="0.85">
      <c r="A107" s="18">
        <v>15</v>
      </c>
      <c r="B107" s="18" t="s">
        <v>168</v>
      </c>
      <c r="C107" s="18" t="s">
        <v>168</v>
      </c>
      <c r="D107" s="18">
        <v>1.4</v>
      </c>
      <c r="E107" s="18">
        <v>5</v>
      </c>
      <c r="F107" s="20" t="s">
        <v>354</v>
      </c>
      <c r="G107" s="84">
        <v>112</v>
      </c>
      <c r="H107" s="84">
        <f>G107*((100-Discounts!$B$8)/100)</f>
        <v>47.04</v>
      </c>
      <c r="I107" s="13"/>
      <c r="J107" s="13"/>
      <c r="L107" s="11"/>
      <c r="N107" s="12"/>
    </row>
    <row r="108" spans="1:14" ht="27" customHeight="1" x14ac:dyDescent="0.85">
      <c r="A108" s="16">
        <v>20</v>
      </c>
      <c r="B108" s="16" t="s">
        <v>168</v>
      </c>
      <c r="C108" s="16" t="s">
        <v>168</v>
      </c>
      <c r="D108" s="16">
        <v>1.4</v>
      </c>
      <c r="E108" s="16">
        <v>5</v>
      </c>
      <c r="F108" s="19" t="s">
        <v>355</v>
      </c>
      <c r="G108" s="83">
        <v>149.75</v>
      </c>
      <c r="H108" s="83">
        <f>G108*((100-Discounts!$B$8)/100)</f>
        <v>62.894999999999996</v>
      </c>
      <c r="I108" s="13"/>
      <c r="J108" s="13"/>
      <c r="L108" s="11"/>
      <c r="N108" s="12"/>
    </row>
  </sheetData>
  <phoneticPr fontId="4" type="noConversion"/>
  <hyperlinks>
    <hyperlink ref="H2" r:id="rId1" xr:uid="{DF619981-4F0D-4C6B-8D65-0A62006199BF}"/>
    <hyperlink ref="H35" r:id="rId2" xr:uid="{59F62F14-9371-4DE5-B4CA-50F54E8FC6B7}"/>
    <hyperlink ref="H65" r:id="rId3" xr:uid="{EC8DEBEF-2430-48B5-B3E8-18CA457C3FA1}"/>
    <hyperlink ref="H78" r:id="rId4" xr:uid="{F5A19A41-FD5C-4C91-9763-AA97057D161B}"/>
    <hyperlink ref="A2" r:id="rId5" xr:uid="{ACC9C88B-14DE-4F34-960F-7365127854E7}"/>
    <hyperlink ref="A1:B1" r:id="rId6" display="NR/SBR Rubber sheets" xr:uid="{A829AD41-A02F-45A1-B30D-25DF9EF79F2B}"/>
    <hyperlink ref="A35:B35" r:id="rId7" display="Black Miami with insertion(s)" xr:uid="{A6F331C0-6AC6-4EC9-9B68-08546AEF3B85}"/>
    <hyperlink ref="A65:B65" r:id="rId8" display="Black Miami flat sheets" xr:uid="{0D8F1DB8-3370-4A0B-9A4A-846F57F7EAE4}"/>
    <hyperlink ref="A78" r:id="rId9" xr:uid="{7F92C1C2-FBF5-47B6-884E-5C71F3CB3F79}"/>
    <hyperlink ref="H94" r:id="rId10" xr:uid="{AB4708BF-75B9-4929-A5DD-7F6EB540506F}"/>
    <hyperlink ref="A94" r:id="rId11" xr:uid="{BE385F88-A96E-42E9-ABA3-207D73E29E3D}"/>
    <hyperlink ref="H98" r:id="rId12" xr:uid="{8E44E4BD-776E-4ED5-A31B-CC68C669B857}"/>
    <hyperlink ref="A98:B98" r:id="rId13" display="Black Miami 50" xr:uid="{88750F1B-92B8-4DC0-A57F-EA859D09781C}"/>
  </hyperlinks>
  <pageMargins left="0.51181102362204722" right="0.51181102362204722" top="0.35433070866141736" bottom="0.35433070866141736" header="0.11811023622047245" footer="0.11811023622047245"/>
  <pageSetup paperSize="9" scale="59" fitToHeight="0" orientation="landscape" r:id="rId14"/>
  <headerFooter>
    <oddFooter>&amp;R&amp;P van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BBA00"/>
    <pageSetUpPr fitToPage="1"/>
  </sheetPr>
  <dimension ref="A1:N116"/>
  <sheetViews>
    <sheetView topLeftCell="A102" zoomScale="70" zoomScaleNormal="70" workbookViewId="0">
      <selection sqref="A1:H116"/>
    </sheetView>
  </sheetViews>
  <sheetFormatPr defaultColWidth="18.5546875" defaultRowHeight="27" customHeight="1" x14ac:dyDescent="0.85"/>
  <cols>
    <col min="1" max="5" width="16.5546875" style="27" customWidth="1"/>
    <col min="6" max="6" width="20.5546875" style="104" customWidth="1"/>
    <col min="7" max="8" width="20.5546875" style="109" customWidth="1"/>
    <col min="9" max="16384" width="18.5546875" style="14"/>
  </cols>
  <sheetData>
    <row r="1" spans="1:14" s="11" customFormat="1" ht="40.5" customHeight="1" thickBot="1" x14ac:dyDescent="0.9">
      <c r="A1" s="211" t="s">
        <v>356</v>
      </c>
      <c r="B1" s="211"/>
      <c r="C1" s="211"/>
      <c r="D1" s="211"/>
      <c r="E1" s="37"/>
      <c r="F1" s="100"/>
      <c r="G1" s="105"/>
      <c r="H1" s="105"/>
      <c r="L1" s="12"/>
    </row>
    <row r="2" spans="1:14" s="11" customFormat="1" ht="40.5" customHeight="1" thickTop="1" thickBot="1" x14ac:dyDescent="0.9">
      <c r="A2" s="33" t="s">
        <v>206</v>
      </c>
      <c r="B2" s="34"/>
      <c r="C2" s="34"/>
      <c r="D2" s="34"/>
      <c r="E2" s="34"/>
      <c r="F2" s="101"/>
      <c r="G2" s="106"/>
      <c r="H2" s="112" t="s">
        <v>323</v>
      </c>
      <c r="J2" s="13"/>
      <c r="N2" s="12"/>
    </row>
    <row r="3" spans="1:14" s="24" customFormat="1" ht="54" customHeight="1" thickTop="1" thickBot="1" x14ac:dyDescent="0.9">
      <c r="A3" s="35" t="s">
        <v>320</v>
      </c>
      <c r="B3" s="36" t="s">
        <v>171</v>
      </c>
      <c r="C3" s="36" t="s">
        <v>325</v>
      </c>
      <c r="D3" s="36" t="s">
        <v>321</v>
      </c>
      <c r="E3" s="36" t="s">
        <v>311</v>
      </c>
      <c r="F3" s="102" t="s">
        <v>322</v>
      </c>
      <c r="G3" s="107" t="s">
        <v>179</v>
      </c>
      <c r="H3" s="107" t="s">
        <v>199</v>
      </c>
    </row>
    <row r="4" spans="1:14" ht="27" customHeight="1" thickTop="1" x14ac:dyDescent="0.85">
      <c r="A4" s="16">
        <v>1</v>
      </c>
      <c r="B4" s="16" t="s">
        <v>168</v>
      </c>
      <c r="C4" s="16" t="s">
        <v>168</v>
      </c>
      <c r="D4" s="16">
        <v>1.4</v>
      </c>
      <c r="E4" s="16">
        <v>20</v>
      </c>
      <c r="F4" s="103" t="s">
        <v>135</v>
      </c>
      <c r="G4" s="108">
        <v>9.75</v>
      </c>
      <c r="H4" s="108">
        <f>G4*((100-Discounts!$B$10)/100)</f>
        <v>3.9000000000000004</v>
      </c>
    </row>
    <row r="5" spans="1:14" ht="27" customHeight="1" x14ac:dyDescent="0.85">
      <c r="A5" s="18">
        <v>1.5</v>
      </c>
      <c r="B5" s="18" t="s">
        <v>168</v>
      </c>
      <c r="C5" s="18" t="s">
        <v>168</v>
      </c>
      <c r="D5" s="18">
        <v>1.4</v>
      </c>
      <c r="E5" s="18">
        <v>15</v>
      </c>
      <c r="F5" s="98" t="s">
        <v>4</v>
      </c>
      <c r="G5" s="84">
        <v>13.25</v>
      </c>
      <c r="H5" s="84">
        <f>G5*((100-Discounts!$B$10)/100)</f>
        <v>5.3000000000000007</v>
      </c>
    </row>
    <row r="6" spans="1:14" ht="27" customHeight="1" x14ac:dyDescent="0.85">
      <c r="A6" s="16">
        <v>2</v>
      </c>
      <c r="B6" s="16" t="s">
        <v>168</v>
      </c>
      <c r="C6" s="16" t="s">
        <v>168</v>
      </c>
      <c r="D6" s="16">
        <v>1.2</v>
      </c>
      <c r="E6" s="16">
        <v>10</v>
      </c>
      <c r="F6" s="97" t="s">
        <v>3</v>
      </c>
      <c r="G6" s="83">
        <v>16.25</v>
      </c>
      <c r="H6" s="83">
        <f>G6*((100-Discounts!$B$10)/100)</f>
        <v>6.5</v>
      </c>
    </row>
    <row r="7" spans="1:14" ht="27" customHeight="1" x14ac:dyDescent="0.85">
      <c r="A7" s="18">
        <v>2</v>
      </c>
      <c r="B7" s="18" t="s">
        <v>168</v>
      </c>
      <c r="C7" s="18" t="s">
        <v>168</v>
      </c>
      <c r="D7" s="18">
        <v>1.4</v>
      </c>
      <c r="E7" s="18">
        <v>10</v>
      </c>
      <c r="F7" s="98" t="s">
        <v>3</v>
      </c>
      <c r="G7" s="84">
        <v>16.25</v>
      </c>
      <c r="H7" s="84">
        <f>G7*((100-Discounts!$B$10)/100)</f>
        <v>6.5</v>
      </c>
    </row>
    <row r="8" spans="1:14" ht="27" customHeight="1" x14ac:dyDescent="0.85">
      <c r="A8" s="16">
        <v>3</v>
      </c>
      <c r="B8" s="16" t="s">
        <v>168</v>
      </c>
      <c r="C8" s="16" t="s">
        <v>168</v>
      </c>
      <c r="D8" s="16">
        <v>1.2</v>
      </c>
      <c r="E8" s="16">
        <v>10</v>
      </c>
      <c r="F8" s="97" t="s">
        <v>7</v>
      </c>
      <c r="G8" s="83">
        <v>23</v>
      </c>
      <c r="H8" s="83">
        <f>G8*((100-Discounts!$B$10)/100)</f>
        <v>9.2000000000000011</v>
      </c>
    </row>
    <row r="9" spans="1:14" ht="27" customHeight="1" x14ac:dyDescent="0.85">
      <c r="A9" s="18">
        <v>3</v>
      </c>
      <c r="B9" s="18" t="s">
        <v>168</v>
      </c>
      <c r="C9" s="18" t="s">
        <v>168</v>
      </c>
      <c r="D9" s="18">
        <v>1.4</v>
      </c>
      <c r="E9" s="18">
        <v>10</v>
      </c>
      <c r="F9" s="98" t="s">
        <v>7</v>
      </c>
      <c r="G9" s="84">
        <v>23</v>
      </c>
      <c r="H9" s="84">
        <f>G9*((100-Discounts!$B$10)/100)</f>
        <v>9.2000000000000011</v>
      </c>
    </row>
    <row r="10" spans="1:14" ht="27" customHeight="1" x14ac:dyDescent="0.85">
      <c r="A10" s="16">
        <v>4</v>
      </c>
      <c r="B10" s="16" t="s">
        <v>168</v>
      </c>
      <c r="C10" s="16" t="s">
        <v>168</v>
      </c>
      <c r="D10" s="16">
        <v>1.2</v>
      </c>
      <c r="E10" s="16">
        <v>10</v>
      </c>
      <c r="F10" s="97" t="s">
        <v>9</v>
      </c>
      <c r="G10" s="83">
        <v>30.5</v>
      </c>
      <c r="H10" s="83">
        <f>G10*((100-Discounts!$B$10)/100)</f>
        <v>12.200000000000001</v>
      </c>
    </row>
    <row r="11" spans="1:14" ht="27" customHeight="1" x14ac:dyDescent="0.85">
      <c r="A11" s="18">
        <v>4</v>
      </c>
      <c r="B11" s="18" t="s">
        <v>168</v>
      </c>
      <c r="C11" s="18" t="s">
        <v>168</v>
      </c>
      <c r="D11" s="18">
        <v>1.4</v>
      </c>
      <c r="E11" s="18">
        <v>10</v>
      </c>
      <c r="F11" s="98" t="s">
        <v>9</v>
      </c>
      <c r="G11" s="84">
        <v>30.5</v>
      </c>
      <c r="H11" s="84">
        <f>G11*((100-Discounts!$B$10)/100)</f>
        <v>12.200000000000001</v>
      </c>
    </row>
    <row r="12" spans="1:14" ht="27" customHeight="1" x14ac:dyDescent="0.85">
      <c r="A12" s="16">
        <v>5</v>
      </c>
      <c r="B12" s="16" t="s">
        <v>168</v>
      </c>
      <c r="C12" s="16" t="s">
        <v>168</v>
      </c>
      <c r="D12" s="16">
        <v>1.2</v>
      </c>
      <c r="E12" s="16">
        <v>10</v>
      </c>
      <c r="F12" s="97" t="s">
        <v>11</v>
      </c>
      <c r="G12" s="83">
        <v>38</v>
      </c>
      <c r="H12" s="83">
        <f>G12*((100-Discounts!$B$10)/100)</f>
        <v>15.200000000000001</v>
      </c>
    </row>
    <row r="13" spans="1:14" ht="27" customHeight="1" x14ac:dyDescent="0.85">
      <c r="A13" s="18">
        <v>5</v>
      </c>
      <c r="B13" s="18" t="s">
        <v>168</v>
      </c>
      <c r="C13" s="18" t="s">
        <v>168</v>
      </c>
      <c r="D13" s="18">
        <v>1.4</v>
      </c>
      <c r="E13" s="18">
        <v>10</v>
      </c>
      <c r="F13" s="98" t="s">
        <v>11</v>
      </c>
      <c r="G13" s="84">
        <v>38</v>
      </c>
      <c r="H13" s="84">
        <f>G13*((100-Discounts!$B$10)/100)</f>
        <v>15.200000000000001</v>
      </c>
    </row>
    <row r="14" spans="1:14" ht="27" customHeight="1" x14ac:dyDescent="0.85">
      <c r="A14" s="16">
        <v>6</v>
      </c>
      <c r="B14" s="16" t="s">
        <v>168</v>
      </c>
      <c r="C14" s="16" t="s">
        <v>168</v>
      </c>
      <c r="D14" s="16">
        <v>1.2</v>
      </c>
      <c r="E14" s="16">
        <v>10</v>
      </c>
      <c r="F14" s="97" t="s">
        <v>13</v>
      </c>
      <c r="G14" s="83">
        <v>44.5</v>
      </c>
      <c r="H14" s="83">
        <f>G14*((100-Discounts!$B$10)/100)</f>
        <v>17.8</v>
      </c>
    </row>
    <row r="15" spans="1:14" ht="27" customHeight="1" x14ac:dyDescent="0.85">
      <c r="A15" s="18">
        <v>6</v>
      </c>
      <c r="B15" s="18" t="s">
        <v>168</v>
      </c>
      <c r="C15" s="18" t="s">
        <v>168</v>
      </c>
      <c r="D15" s="18">
        <v>1.4</v>
      </c>
      <c r="E15" s="18">
        <v>10</v>
      </c>
      <c r="F15" s="98" t="s">
        <v>13</v>
      </c>
      <c r="G15" s="84">
        <v>44.5</v>
      </c>
      <c r="H15" s="84">
        <f>G15*((100-Discounts!$B$10)/100)</f>
        <v>17.8</v>
      </c>
    </row>
    <row r="16" spans="1:14" ht="27" customHeight="1" x14ac:dyDescent="0.85">
      <c r="A16" s="16">
        <v>8</v>
      </c>
      <c r="B16" s="16" t="s">
        <v>168</v>
      </c>
      <c r="C16" s="16" t="s">
        <v>168</v>
      </c>
      <c r="D16" s="16">
        <v>1.2</v>
      </c>
      <c r="E16" s="16">
        <v>10</v>
      </c>
      <c r="F16" s="97" t="s">
        <v>14</v>
      </c>
      <c r="G16" s="83">
        <v>58.25</v>
      </c>
      <c r="H16" s="83">
        <f>G16*((100-Discounts!$B$10)/100)</f>
        <v>23.3</v>
      </c>
    </row>
    <row r="17" spans="1:14" ht="27" customHeight="1" x14ac:dyDescent="0.85">
      <c r="A17" s="18">
        <v>8</v>
      </c>
      <c r="B17" s="18" t="s">
        <v>168</v>
      </c>
      <c r="C17" s="18" t="s">
        <v>168</v>
      </c>
      <c r="D17" s="18">
        <v>1.4</v>
      </c>
      <c r="E17" s="18">
        <v>10</v>
      </c>
      <c r="F17" s="98" t="s">
        <v>14</v>
      </c>
      <c r="G17" s="84">
        <v>58.25</v>
      </c>
      <c r="H17" s="84">
        <f>G17*((100-Discounts!$B$10)/100)</f>
        <v>23.3</v>
      </c>
    </row>
    <row r="18" spans="1:14" ht="27" customHeight="1" x14ac:dyDescent="0.85">
      <c r="A18" s="16">
        <v>8</v>
      </c>
      <c r="B18" s="16" t="s">
        <v>168</v>
      </c>
      <c r="C18" s="16" t="s">
        <v>168</v>
      </c>
      <c r="D18" s="16">
        <v>1.4</v>
      </c>
      <c r="E18" s="16">
        <v>5</v>
      </c>
      <c r="F18" s="97" t="s">
        <v>14</v>
      </c>
      <c r="G18" s="83">
        <v>58.25</v>
      </c>
      <c r="H18" s="83">
        <f>G18*((100-Discounts!$B$10)/100)</f>
        <v>23.3</v>
      </c>
    </row>
    <row r="19" spans="1:14" ht="27" customHeight="1" x14ac:dyDescent="0.85">
      <c r="A19" s="18">
        <v>10</v>
      </c>
      <c r="B19" s="18" t="s">
        <v>168</v>
      </c>
      <c r="C19" s="18" t="s">
        <v>168</v>
      </c>
      <c r="D19" s="18">
        <v>1</v>
      </c>
      <c r="E19" s="18">
        <v>5</v>
      </c>
      <c r="F19" s="98" t="s">
        <v>15</v>
      </c>
      <c r="G19" s="84">
        <v>71.25</v>
      </c>
      <c r="H19" s="84">
        <f>G19*((100-Discounts!$B$10)/100)</f>
        <v>28.5</v>
      </c>
    </row>
    <row r="20" spans="1:14" ht="27" customHeight="1" x14ac:dyDescent="0.85">
      <c r="A20" s="16">
        <v>10</v>
      </c>
      <c r="B20" s="16" t="s">
        <v>168</v>
      </c>
      <c r="C20" s="16" t="s">
        <v>168</v>
      </c>
      <c r="D20" s="16">
        <v>1.2</v>
      </c>
      <c r="E20" s="16">
        <v>10</v>
      </c>
      <c r="F20" s="97" t="s">
        <v>15</v>
      </c>
      <c r="G20" s="83">
        <v>71.25</v>
      </c>
      <c r="H20" s="83">
        <f>G20*((100-Discounts!$B$10)/100)</f>
        <v>28.5</v>
      </c>
    </row>
    <row r="21" spans="1:14" ht="27" customHeight="1" x14ac:dyDescent="0.85">
      <c r="A21" s="18">
        <v>10</v>
      </c>
      <c r="B21" s="18" t="s">
        <v>168</v>
      </c>
      <c r="C21" s="18" t="s">
        <v>168</v>
      </c>
      <c r="D21" s="18">
        <v>1.4</v>
      </c>
      <c r="E21" s="18">
        <v>5</v>
      </c>
      <c r="F21" s="98" t="s">
        <v>15</v>
      </c>
      <c r="G21" s="84">
        <v>71.25</v>
      </c>
      <c r="H21" s="84">
        <f>G21*((100-Discounts!$B$10)/100)</f>
        <v>28.5</v>
      </c>
    </row>
    <row r="22" spans="1:14" ht="27" customHeight="1" x14ac:dyDescent="0.85">
      <c r="A22" s="16">
        <v>10</v>
      </c>
      <c r="B22" s="16" t="s">
        <v>168</v>
      </c>
      <c r="C22" s="16" t="s">
        <v>168</v>
      </c>
      <c r="D22" s="16">
        <v>1.4</v>
      </c>
      <c r="E22" s="16">
        <v>10</v>
      </c>
      <c r="F22" s="97" t="s">
        <v>15</v>
      </c>
      <c r="G22" s="83">
        <v>71.25</v>
      </c>
      <c r="H22" s="83">
        <f>G22*((100-Discounts!$B$10)/100)</f>
        <v>28.5</v>
      </c>
    </row>
    <row r="23" spans="1:14" ht="27" customHeight="1" x14ac:dyDescent="0.85">
      <c r="A23" s="18">
        <v>10</v>
      </c>
      <c r="B23" s="18" t="s">
        <v>168</v>
      </c>
      <c r="C23" s="18" t="s">
        <v>168</v>
      </c>
      <c r="D23" s="18">
        <v>1.5</v>
      </c>
      <c r="E23" s="18">
        <v>5</v>
      </c>
      <c r="F23" s="98" t="s">
        <v>15</v>
      </c>
      <c r="G23" s="84">
        <v>71.25</v>
      </c>
      <c r="H23" s="84">
        <f>G23*((100-Discounts!$B$10)/100)</f>
        <v>28.5</v>
      </c>
    </row>
    <row r="24" spans="1:14" ht="27" customHeight="1" x14ac:dyDescent="0.85">
      <c r="A24" s="16">
        <v>10</v>
      </c>
      <c r="B24" s="16" t="s">
        <v>168</v>
      </c>
      <c r="C24" s="16" t="s">
        <v>168</v>
      </c>
      <c r="D24" s="16">
        <v>1.5</v>
      </c>
      <c r="E24" s="16">
        <v>10</v>
      </c>
      <c r="F24" s="97" t="s">
        <v>15</v>
      </c>
      <c r="G24" s="83">
        <v>71.25</v>
      </c>
      <c r="H24" s="83">
        <f>G24*((100-Discounts!$B$10)/100)</f>
        <v>28.5</v>
      </c>
    </row>
    <row r="25" spans="1:14" ht="27" customHeight="1" x14ac:dyDescent="0.85">
      <c r="A25" s="18">
        <v>10</v>
      </c>
      <c r="B25" s="18" t="s">
        <v>168</v>
      </c>
      <c r="C25" s="18" t="s">
        <v>168</v>
      </c>
      <c r="D25" s="18">
        <v>1.8</v>
      </c>
      <c r="E25" s="18">
        <v>5</v>
      </c>
      <c r="F25" s="98" t="s">
        <v>15</v>
      </c>
      <c r="G25" s="84">
        <v>71.25</v>
      </c>
      <c r="H25" s="84">
        <f>G25*((100-Discounts!$B$10)/100)</f>
        <v>28.5</v>
      </c>
    </row>
    <row r="26" spans="1:14" ht="27" customHeight="1" x14ac:dyDescent="0.85">
      <c r="A26" s="16">
        <v>12</v>
      </c>
      <c r="B26" s="16" t="s">
        <v>168</v>
      </c>
      <c r="C26" s="16" t="s">
        <v>168</v>
      </c>
      <c r="D26" s="16">
        <v>1.4</v>
      </c>
      <c r="E26" s="16">
        <v>5</v>
      </c>
      <c r="F26" s="97" t="s">
        <v>16</v>
      </c>
      <c r="G26" s="83">
        <v>84</v>
      </c>
      <c r="H26" s="83">
        <f>G26*((100-Discounts!$B$10)/100)</f>
        <v>33.6</v>
      </c>
    </row>
    <row r="27" spans="1:14" ht="27" customHeight="1" x14ac:dyDescent="0.85">
      <c r="A27" s="18">
        <v>15</v>
      </c>
      <c r="B27" s="18" t="s">
        <v>168</v>
      </c>
      <c r="C27" s="18" t="s">
        <v>168</v>
      </c>
      <c r="D27" s="18">
        <v>1.4</v>
      </c>
      <c r="E27" s="18">
        <v>5</v>
      </c>
      <c r="F27" s="98" t="s">
        <v>17</v>
      </c>
      <c r="G27" s="84">
        <v>104</v>
      </c>
      <c r="H27" s="84">
        <f>G27*((100-Discounts!$B$10)/100)</f>
        <v>41.6</v>
      </c>
    </row>
    <row r="28" spans="1:14" ht="27" customHeight="1" x14ac:dyDescent="0.85">
      <c r="A28" s="16">
        <v>20</v>
      </c>
      <c r="B28" s="16" t="s">
        <v>168</v>
      </c>
      <c r="C28" s="16" t="s">
        <v>168</v>
      </c>
      <c r="D28" s="16">
        <v>1.4</v>
      </c>
      <c r="E28" s="16">
        <v>5</v>
      </c>
      <c r="F28" s="97" t="s">
        <v>18</v>
      </c>
      <c r="G28" s="83">
        <v>137.25</v>
      </c>
      <c r="H28" s="83">
        <f>G28*((100-Discounts!$B$10)/100)</f>
        <v>54.900000000000006</v>
      </c>
    </row>
    <row r="29" spans="1:14" ht="27" customHeight="1" thickBot="1" x14ac:dyDescent="0.9">
      <c r="A29" s="18">
        <v>25</v>
      </c>
      <c r="B29" s="18" t="s">
        <v>168</v>
      </c>
      <c r="C29" s="18" t="s">
        <v>168</v>
      </c>
      <c r="D29" s="18">
        <v>1.4</v>
      </c>
      <c r="E29" s="18">
        <v>5</v>
      </c>
      <c r="F29" s="98" t="s">
        <v>310</v>
      </c>
      <c r="G29" s="84">
        <v>171.75</v>
      </c>
      <c r="H29" s="84">
        <f>G29*((100-Discounts!$B$10)/100)</f>
        <v>68.7</v>
      </c>
    </row>
    <row r="30" spans="1:14" s="11" customFormat="1" ht="40.5" customHeight="1" thickTop="1" thickBot="1" x14ac:dyDescent="0.9">
      <c r="A30" s="33" t="s">
        <v>358</v>
      </c>
      <c r="B30" s="34"/>
      <c r="C30" s="34"/>
      <c r="D30" s="34"/>
      <c r="E30" s="34"/>
      <c r="F30" s="101"/>
      <c r="G30" s="106"/>
      <c r="H30" s="112" t="s">
        <v>323</v>
      </c>
      <c r="J30" s="13"/>
      <c r="N30" s="12"/>
    </row>
    <row r="31" spans="1:14" s="24" customFormat="1" ht="54" customHeight="1" thickTop="1" thickBot="1" x14ac:dyDescent="0.9">
      <c r="A31" s="35" t="s">
        <v>320</v>
      </c>
      <c r="B31" s="36" t="s">
        <v>171</v>
      </c>
      <c r="C31" s="36" t="s">
        <v>325</v>
      </c>
      <c r="D31" s="36" t="s">
        <v>321</v>
      </c>
      <c r="E31" s="36" t="s">
        <v>311</v>
      </c>
      <c r="F31" s="102" t="s">
        <v>322</v>
      </c>
      <c r="G31" s="107" t="s">
        <v>179</v>
      </c>
      <c r="H31" s="107" t="s">
        <v>199</v>
      </c>
    </row>
    <row r="32" spans="1:14" ht="27" customHeight="1" thickTop="1" x14ac:dyDescent="0.85">
      <c r="A32" s="16">
        <v>1.5</v>
      </c>
      <c r="B32" s="16">
        <v>1</v>
      </c>
      <c r="C32" s="16" t="s">
        <v>178</v>
      </c>
      <c r="D32" s="16">
        <v>1.4</v>
      </c>
      <c r="E32" s="16">
        <v>10</v>
      </c>
      <c r="F32" s="19" t="s">
        <v>5</v>
      </c>
      <c r="G32" s="83">
        <v>19.25</v>
      </c>
      <c r="H32" s="83">
        <f>G32*((100-Discounts!$B$10)/100)</f>
        <v>7.7</v>
      </c>
    </row>
    <row r="33" spans="1:8" ht="27" customHeight="1" x14ac:dyDescent="0.85">
      <c r="A33" s="18">
        <v>1.5</v>
      </c>
      <c r="B33" s="18">
        <v>1</v>
      </c>
      <c r="C33" s="18" t="s">
        <v>178</v>
      </c>
      <c r="D33" s="18">
        <v>1.4</v>
      </c>
      <c r="E33" s="18">
        <v>15</v>
      </c>
      <c r="F33" s="20" t="s">
        <v>5</v>
      </c>
      <c r="G33" s="84">
        <v>19.25</v>
      </c>
      <c r="H33" s="84">
        <f>G33*((100-Discounts!$B$10)/100)</f>
        <v>7.7</v>
      </c>
    </row>
    <row r="34" spans="1:8" ht="27" customHeight="1" x14ac:dyDescent="0.85">
      <c r="A34" s="16">
        <v>2</v>
      </c>
      <c r="B34" s="16">
        <v>1</v>
      </c>
      <c r="C34" s="16" t="s">
        <v>178</v>
      </c>
      <c r="D34" s="16">
        <v>1.2</v>
      </c>
      <c r="E34" s="16">
        <v>10</v>
      </c>
      <c r="F34" s="19" t="s">
        <v>6</v>
      </c>
      <c r="G34" s="83">
        <v>22.25</v>
      </c>
      <c r="H34" s="83">
        <f>G34*((100-Discounts!$B$10)/100)</f>
        <v>8.9</v>
      </c>
    </row>
    <row r="35" spans="1:8" ht="27" customHeight="1" x14ac:dyDescent="0.85">
      <c r="A35" s="18">
        <v>2</v>
      </c>
      <c r="B35" s="18">
        <v>1</v>
      </c>
      <c r="C35" s="18" t="s">
        <v>178</v>
      </c>
      <c r="D35" s="18">
        <v>1.4</v>
      </c>
      <c r="E35" s="18">
        <v>10</v>
      </c>
      <c r="F35" s="20" t="s">
        <v>6</v>
      </c>
      <c r="G35" s="84">
        <v>22.25</v>
      </c>
      <c r="H35" s="84">
        <f>G35*((100-Discounts!$B$10)/100)</f>
        <v>8.9</v>
      </c>
    </row>
    <row r="36" spans="1:8" ht="27" customHeight="1" x14ac:dyDescent="0.85">
      <c r="A36" s="16">
        <v>3</v>
      </c>
      <c r="B36" s="16">
        <v>1</v>
      </c>
      <c r="C36" s="16" t="s">
        <v>178</v>
      </c>
      <c r="D36" s="16">
        <v>1.2</v>
      </c>
      <c r="E36" s="16">
        <v>10</v>
      </c>
      <c r="F36" s="19" t="s">
        <v>8</v>
      </c>
      <c r="G36" s="83">
        <v>29</v>
      </c>
      <c r="H36" s="83">
        <f>G36*((100-Discounts!$B$10)/100)</f>
        <v>11.600000000000001</v>
      </c>
    </row>
    <row r="37" spans="1:8" ht="27" customHeight="1" x14ac:dyDescent="0.85">
      <c r="A37" s="18">
        <v>3</v>
      </c>
      <c r="B37" s="18">
        <v>1</v>
      </c>
      <c r="C37" s="18" t="s">
        <v>178</v>
      </c>
      <c r="D37" s="18">
        <v>1.4</v>
      </c>
      <c r="E37" s="18">
        <v>10</v>
      </c>
      <c r="F37" s="20" t="s">
        <v>8</v>
      </c>
      <c r="G37" s="84">
        <v>29</v>
      </c>
      <c r="H37" s="84">
        <f>G37*((100-Discounts!$B$10)/100)</f>
        <v>11.600000000000001</v>
      </c>
    </row>
    <row r="38" spans="1:8" ht="27" customHeight="1" x14ac:dyDescent="0.85">
      <c r="A38" s="16">
        <v>3</v>
      </c>
      <c r="B38" s="16">
        <v>2</v>
      </c>
      <c r="C38" s="16" t="s">
        <v>178</v>
      </c>
      <c r="D38" s="16">
        <v>1.2</v>
      </c>
      <c r="E38" s="16">
        <v>10</v>
      </c>
      <c r="F38" s="19" t="s">
        <v>726</v>
      </c>
      <c r="G38" s="83">
        <v>35</v>
      </c>
      <c r="H38" s="83">
        <f>G38*((100-Discounts!$B$10)/100)</f>
        <v>14</v>
      </c>
    </row>
    <row r="39" spans="1:8" ht="27" customHeight="1" x14ac:dyDescent="0.85">
      <c r="A39" s="18">
        <v>3</v>
      </c>
      <c r="B39" s="18">
        <v>2</v>
      </c>
      <c r="C39" s="18" t="s">
        <v>178</v>
      </c>
      <c r="D39" s="18">
        <v>1.4</v>
      </c>
      <c r="E39" s="18">
        <v>10</v>
      </c>
      <c r="F39" s="20" t="s">
        <v>726</v>
      </c>
      <c r="G39" s="84">
        <v>35</v>
      </c>
      <c r="H39" s="84">
        <f>G39*((100-Discounts!$B$10)/100)</f>
        <v>14</v>
      </c>
    </row>
    <row r="40" spans="1:8" ht="27" customHeight="1" x14ac:dyDescent="0.85">
      <c r="A40" s="16">
        <v>4</v>
      </c>
      <c r="B40" s="16">
        <v>1</v>
      </c>
      <c r="C40" s="16" t="s">
        <v>178</v>
      </c>
      <c r="D40" s="16">
        <v>1.2</v>
      </c>
      <c r="E40" s="16">
        <v>10</v>
      </c>
      <c r="F40" s="19" t="s">
        <v>10</v>
      </c>
      <c r="G40" s="83">
        <v>36.5</v>
      </c>
      <c r="H40" s="83">
        <f>G40*((100-Discounts!$B$10)/100)</f>
        <v>14.600000000000001</v>
      </c>
    </row>
    <row r="41" spans="1:8" ht="27" customHeight="1" x14ac:dyDescent="0.85">
      <c r="A41" s="18">
        <v>4</v>
      </c>
      <c r="B41" s="18">
        <v>1</v>
      </c>
      <c r="C41" s="18" t="s">
        <v>178</v>
      </c>
      <c r="D41" s="18">
        <v>1.4</v>
      </c>
      <c r="E41" s="18">
        <v>10</v>
      </c>
      <c r="F41" s="20" t="s">
        <v>10</v>
      </c>
      <c r="G41" s="84">
        <v>36.5</v>
      </c>
      <c r="H41" s="84">
        <f>G41*((100-Discounts!$B$10)/100)</f>
        <v>14.600000000000001</v>
      </c>
    </row>
    <row r="42" spans="1:8" ht="27" customHeight="1" x14ac:dyDescent="0.85">
      <c r="A42" s="16">
        <v>4</v>
      </c>
      <c r="B42" s="16">
        <v>2</v>
      </c>
      <c r="C42" s="16" t="s">
        <v>178</v>
      </c>
      <c r="D42" s="16">
        <v>1.2</v>
      </c>
      <c r="E42" s="16">
        <v>10</v>
      </c>
      <c r="F42" s="19" t="s">
        <v>725</v>
      </c>
      <c r="G42" s="83">
        <v>42.5</v>
      </c>
      <c r="H42" s="83">
        <f>G42*((100-Discounts!$B$10)/100)</f>
        <v>17</v>
      </c>
    </row>
    <row r="43" spans="1:8" ht="27" customHeight="1" x14ac:dyDescent="0.85">
      <c r="A43" s="18">
        <v>4</v>
      </c>
      <c r="B43" s="18">
        <v>2</v>
      </c>
      <c r="C43" s="18" t="s">
        <v>178</v>
      </c>
      <c r="D43" s="18">
        <v>1.4</v>
      </c>
      <c r="E43" s="18">
        <v>10</v>
      </c>
      <c r="F43" s="20" t="s">
        <v>725</v>
      </c>
      <c r="G43" s="84">
        <v>42.5</v>
      </c>
      <c r="H43" s="84">
        <f>G43*((100-Discounts!$B$10)/100)</f>
        <v>17</v>
      </c>
    </row>
    <row r="44" spans="1:8" ht="27" customHeight="1" x14ac:dyDescent="0.85">
      <c r="A44" s="16">
        <v>5</v>
      </c>
      <c r="B44" s="16">
        <v>1</v>
      </c>
      <c r="C44" s="16" t="s">
        <v>178</v>
      </c>
      <c r="D44" s="16">
        <v>1.2</v>
      </c>
      <c r="E44" s="16">
        <v>10</v>
      </c>
      <c r="F44" s="19" t="s">
        <v>12</v>
      </c>
      <c r="G44" s="83">
        <v>44</v>
      </c>
      <c r="H44" s="83">
        <f>G44*((100-Discounts!$B$10)/100)</f>
        <v>17.600000000000001</v>
      </c>
    </row>
    <row r="45" spans="1:8" ht="27" customHeight="1" x14ac:dyDescent="0.85">
      <c r="A45" s="18">
        <v>5</v>
      </c>
      <c r="B45" s="18">
        <v>1</v>
      </c>
      <c r="C45" s="18" t="s">
        <v>178</v>
      </c>
      <c r="D45" s="18">
        <v>1.4</v>
      </c>
      <c r="E45" s="18">
        <v>10</v>
      </c>
      <c r="F45" s="20" t="s">
        <v>12</v>
      </c>
      <c r="G45" s="84">
        <v>44</v>
      </c>
      <c r="H45" s="84">
        <f>G45*((100-Discounts!$B$10)/100)</f>
        <v>17.600000000000001</v>
      </c>
    </row>
    <row r="46" spans="1:8" ht="27" customHeight="1" x14ac:dyDescent="0.85">
      <c r="A46" s="16">
        <v>5</v>
      </c>
      <c r="B46" s="16">
        <v>2</v>
      </c>
      <c r="C46" s="16" t="s">
        <v>178</v>
      </c>
      <c r="D46" s="16">
        <v>1.4</v>
      </c>
      <c r="E46" s="16">
        <v>10</v>
      </c>
      <c r="F46" s="19" t="s">
        <v>724</v>
      </c>
      <c r="G46" s="83">
        <v>50</v>
      </c>
      <c r="H46" s="83">
        <f>G46*((100-Discounts!$B$10)/100)</f>
        <v>20</v>
      </c>
    </row>
    <row r="47" spans="1:8" ht="27" customHeight="1" x14ac:dyDescent="0.85">
      <c r="A47" s="18">
        <v>6</v>
      </c>
      <c r="B47" s="18">
        <v>2</v>
      </c>
      <c r="C47" s="18" t="s">
        <v>178</v>
      </c>
      <c r="D47" s="18">
        <v>1.4</v>
      </c>
      <c r="E47" s="18">
        <v>10</v>
      </c>
      <c r="F47" s="20" t="s">
        <v>723</v>
      </c>
      <c r="G47" s="84">
        <v>56.5</v>
      </c>
      <c r="H47" s="84">
        <f>G47*((100-Discounts!$B$10)/100)</f>
        <v>22.6</v>
      </c>
    </row>
    <row r="48" spans="1:8" ht="27" customHeight="1" x14ac:dyDescent="0.85">
      <c r="A48" s="16">
        <v>8</v>
      </c>
      <c r="B48" s="16">
        <v>2</v>
      </c>
      <c r="C48" s="16" t="s">
        <v>178</v>
      </c>
      <c r="D48" s="16">
        <v>1.4</v>
      </c>
      <c r="E48" s="16">
        <v>5</v>
      </c>
      <c r="F48" s="19" t="s">
        <v>357</v>
      </c>
      <c r="G48" s="83">
        <v>70.25</v>
      </c>
      <c r="H48" s="83">
        <f>G48*((100-Discounts!$B$10)/100)</f>
        <v>28.1</v>
      </c>
    </row>
    <row r="49" spans="1:11" ht="27" customHeight="1" x14ac:dyDescent="0.85">
      <c r="A49" s="18">
        <v>10</v>
      </c>
      <c r="B49" s="18">
        <v>2</v>
      </c>
      <c r="C49" s="18" t="s">
        <v>178</v>
      </c>
      <c r="D49" s="18">
        <v>1.2</v>
      </c>
      <c r="E49" s="18">
        <v>10</v>
      </c>
      <c r="F49" s="20" t="s">
        <v>722</v>
      </c>
      <c r="G49" s="84">
        <v>83.25</v>
      </c>
      <c r="H49" s="84">
        <f>G49*((100-Discounts!$B$10)/100)</f>
        <v>33.300000000000004</v>
      </c>
    </row>
    <row r="50" spans="1:11" ht="27" customHeight="1" x14ac:dyDescent="0.85">
      <c r="A50" s="16">
        <v>10</v>
      </c>
      <c r="B50" s="16">
        <v>2</v>
      </c>
      <c r="C50" s="16" t="s">
        <v>178</v>
      </c>
      <c r="D50" s="16">
        <v>1.4</v>
      </c>
      <c r="E50" s="16">
        <v>5</v>
      </c>
      <c r="F50" s="19" t="s">
        <v>722</v>
      </c>
      <c r="G50" s="83">
        <v>83.25</v>
      </c>
      <c r="H50" s="83">
        <f>G50*((100-Discounts!$B$10)/100)</f>
        <v>33.300000000000004</v>
      </c>
    </row>
    <row r="51" spans="1:11" ht="27" customHeight="1" thickBot="1" x14ac:dyDescent="0.9">
      <c r="A51" s="18">
        <v>10</v>
      </c>
      <c r="B51" s="18">
        <v>2</v>
      </c>
      <c r="C51" s="18" t="s">
        <v>178</v>
      </c>
      <c r="D51" s="18">
        <v>1.4</v>
      </c>
      <c r="E51" s="18">
        <v>10</v>
      </c>
      <c r="F51" s="20" t="s">
        <v>722</v>
      </c>
      <c r="G51" s="84">
        <v>83.25</v>
      </c>
      <c r="H51" s="84">
        <f>G51*((100-Discounts!$B$10)/100)</f>
        <v>33.300000000000004</v>
      </c>
    </row>
    <row r="52" spans="1:11" s="11" customFormat="1" ht="40.5" customHeight="1" thickTop="1" thickBot="1" x14ac:dyDescent="0.9">
      <c r="A52" s="33" t="s">
        <v>359</v>
      </c>
      <c r="B52" s="34"/>
      <c r="C52" s="34"/>
      <c r="D52" s="34"/>
      <c r="E52" s="34"/>
      <c r="F52" s="101"/>
      <c r="G52" s="106"/>
      <c r="H52" s="112" t="s">
        <v>323</v>
      </c>
      <c r="K52" s="12"/>
    </row>
    <row r="53" spans="1:11" s="24" customFormat="1" ht="54" customHeight="1" thickTop="1" thickBot="1" x14ac:dyDescent="0.9">
      <c r="A53" s="35" t="s">
        <v>320</v>
      </c>
      <c r="B53" s="36" t="s">
        <v>171</v>
      </c>
      <c r="C53" s="36" t="s">
        <v>325</v>
      </c>
      <c r="D53" s="36" t="s">
        <v>321</v>
      </c>
      <c r="E53" s="36" t="s">
        <v>311</v>
      </c>
      <c r="F53" s="102" t="s">
        <v>322</v>
      </c>
      <c r="G53" s="107" t="s">
        <v>179</v>
      </c>
      <c r="H53" s="107" t="s">
        <v>199</v>
      </c>
    </row>
    <row r="54" spans="1:11" ht="27" customHeight="1" thickTop="1" x14ac:dyDescent="0.85">
      <c r="A54" s="16">
        <v>10</v>
      </c>
      <c r="B54" s="16" t="s">
        <v>168</v>
      </c>
      <c r="C54" s="16" t="s">
        <v>168</v>
      </c>
      <c r="D54" s="16">
        <v>1</v>
      </c>
      <c r="E54" s="16">
        <v>1</v>
      </c>
      <c r="F54" s="93" t="s">
        <v>360</v>
      </c>
      <c r="G54" s="80">
        <v>75</v>
      </c>
      <c r="H54" s="80">
        <f>G54*((100-Discounts!$B$10)/100)</f>
        <v>30</v>
      </c>
    </row>
    <row r="55" spans="1:11" ht="27" customHeight="1" x14ac:dyDescent="0.85">
      <c r="A55" s="18">
        <v>15</v>
      </c>
      <c r="B55" s="18" t="s">
        <v>168</v>
      </c>
      <c r="C55" s="18" t="s">
        <v>168</v>
      </c>
      <c r="D55" s="18">
        <v>1</v>
      </c>
      <c r="E55" s="18">
        <v>1</v>
      </c>
      <c r="F55" s="94" t="s">
        <v>361</v>
      </c>
      <c r="G55" s="81">
        <v>110.25</v>
      </c>
      <c r="H55" s="81">
        <f>G55*((100-Discounts!$B$10)/100)</f>
        <v>44.1</v>
      </c>
    </row>
    <row r="56" spans="1:11" ht="27" customHeight="1" x14ac:dyDescent="0.85">
      <c r="A56" s="16">
        <v>20</v>
      </c>
      <c r="B56" s="16" t="s">
        <v>168</v>
      </c>
      <c r="C56" s="16" t="s">
        <v>168</v>
      </c>
      <c r="D56" s="16">
        <v>1</v>
      </c>
      <c r="E56" s="16">
        <v>1</v>
      </c>
      <c r="F56" s="93" t="s">
        <v>362</v>
      </c>
      <c r="G56" s="80">
        <v>144</v>
      </c>
      <c r="H56" s="80">
        <f>G56*((100-Discounts!$B$10)/100)</f>
        <v>57.6</v>
      </c>
    </row>
    <row r="57" spans="1:11" ht="27" customHeight="1" x14ac:dyDescent="0.85">
      <c r="A57" s="18">
        <v>20</v>
      </c>
      <c r="B57" s="18" t="s">
        <v>168</v>
      </c>
      <c r="C57" s="18" t="s">
        <v>168</v>
      </c>
      <c r="D57" s="18">
        <v>1.4</v>
      </c>
      <c r="E57" s="18">
        <v>2</v>
      </c>
      <c r="F57" s="94" t="s">
        <v>18</v>
      </c>
      <c r="G57" s="81">
        <v>137.25</v>
      </c>
      <c r="H57" s="81">
        <f>G57*((100-Discounts!$B$10)/100)</f>
        <v>54.900000000000006</v>
      </c>
    </row>
    <row r="58" spans="1:11" ht="27" customHeight="1" x14ac:dyDescent="0.85">
      <c r="A58" s="16">
        <v>20</v>
      </c>
      <c r="B58" s="16" t="s">
        <v>168</v>
      </c>
      <c r="C58" s="16" t="s">
        <v>168</v>
      </c>
      <c r="D58" s="16">
        <v>1.5</v>
      </c>
      <c r="E58" s="16">
        <v>1</v>
      </c>
      <c r="F58" s="93" t="s">
        <v>363</v>
      </c>
      <c r="G58" s="80">
        <v>205.875</v>
      </c>
      <c r="H58" s="80">
        <f>G58*((100-Discounts!$B$10)/100)</f>
        <v>82.350000000000009</v>
      </c>
    </row>
    <row r="59" spans="1:11" ht="27" customHeight="1" x14ac:dyDescent="0.85">
      <c r="A59" s="18">
        <v>25</v>
      </c>
      <c r="B59" s="18" t="s">
        <v>168</v>
      </c>
      <c r="C59" s="18" t="s">
        <v>168</v>
      </c>
      <c r="D59" s="18">
        <v>1</v>
      </c>
      <c r="E59" s="18">
        <v>1</v>
      </c>
      <c r="F59" s="94" t="s">
        <v>364</v>
      </c>
      <c r="G59" s="81">
        <v>182</v>
      </c>
      <c r="H59" s="81">
        <f>G59*((100-Discounts!$B$10)/100)</f>
        <v>72.8</v>
      </c>
    </row>
    <row r="60" spans="1:11" ht="27" customHeight="1" x14ac:dyDescent="0.85">
      <c r="A60" s="16">
        <v>25</v>
      </c>
      <c r="B60" s="16" t="s">
        <v>168</v>
      </c>
      <c r="C60" s="16" t="s">
        <v>168</v>
      </c>
      <c r="D60" s="16">
        <v>1.5</v>
      </c>
      <c r="E60" s="16">
        <v>1</v>
      </c>
      <c r="F60" s="93" t="s">
        <v>365</v>
      </c>
      <c r="G60" s="80">
        <v>273</v>
      </c>
      <c r="H60" s="80">
        <f>G60*((100-Discounts!$B$10)/100)</f>
        <v>109.2</v>
      </c>
    </row>
    <row r="61" spans="1:11" ht="27" customHeight="1" x14ac:dyDescent="0.85">
      <c r="A61" s="18">
        <v>30</v>
      </c>
      <c r="B61" s="18" t="s">
        <v>168</v>
      </c>
      <c r="C61" s="18" t="s">
        <v>168</v>
      </c>
      <c r="D61" s="18">
        <v>1.4</v>
      </c>
      <c r="E61" s="18">
        <v>2</v>
      </c>
      <c r="F61" s="94" t="s">
        <v>190</v>
      </c>
      <c r="G61" s="81">
        <v>212.25</v>
      </c>
      <c r="H61" s="81">
        <f>G61*((100-Discounts!$B$10)/100)</f>
        <v>84.9</v>
      </c>
    </row>
    <row r="62" spans="1:11" ht="27" customHeight="1" x14ac:dyDescent="0.85">
      <c r="A62" s="16">
        <v>30</v>
      </c>
      <c r="B62" s="16" t="s">
        <v>168</v>
      </c>
      <c r="C62" s="16" t="s">
        <v>168</v>
      </c>
      <c r="D62" s="16">
        <v>1.5</v>
      </c>
      <c r="E62" s="16">
        <v>1</v>
      </c>
      <c r="F62" s="93" t="s">
        <v>366</v>
      </c>
      <c r="G62" s="80">
        <v>318.5</v>
      </c>
      <c r="H62" s="80">
        <f>G62*((100-Discounts!$B$10)/100)</f>
        <v>127.4</v>
      </c>
    </row>
    <row r="63" spans="1:11" ht="27" customHeight="1" x14ac:dyDescent="0.85">
      <c r="A63" s="18">
        <v>40</v>
      </c>
      <c r="B63" s="18" t="s">
        <v>168</v>
      </c>
      <c r="C63" s="18" t="s">
        <v>168</v>
      </c>
      <c r="D63" s="18">
        <v>1.4</v>
      </c>
      <c r="E63" s="18">
        <v>2</v>
      </c>
      <c r="F63" s="94" t="s">
        <v>191</v>
      </c>
      <c r="G63" s="81">
        <v>282.75</v>
      </c>
      <c r="H63" s="81">
        <f>G63*((100-Discounts!$B$10)/100)</f>
        <v>113.10000000000001</v>
      </c>
    </row>
    <row r="64" spans="1:11" ht="27" customHeight="1" thickBot="1" x14ac:dyDescent="0.9">
      <c r="A64" s="16">
        <v>50</v>
      </c>
      <c r="B64" s="16" t="s">
        <v>168</v>
      </c>
      <c r="C64" s="16" t="s">
        <v>168</v>
      </c>
      <c r="D64" s="16">
        <v>1.4</v>
      </c>
      <c r="E64" s="16">
        <v>2</v>
      </c>
      <c r="F64" s="93" t="s">
        <v>192</v>
      </c>
      <c r="G64" s="80">
        <v>354</v>
      </c>
      <c r="H64" s="80">
        <f>G64*((100-Discounts!$B$10)/100)</f>
        <v>141.6</v>
      </c>
    </row>
    <row r="65" spans="1:11" s="25" customFormat="1" ht="40.5" customHeight="1" thickTop="1" thickBot="1" x14ac:dyDescent="0.9">
      <c r="A65" s="33" t="s">
        <v>207</v>
      </c>
      <c r="B65" s="34"/>
      <c r="C65" s="34"/>
      <c r="D65" s="34"/>
      <c r="E65" s="34"/>
      <c r="F65" s="101"/>
      <c r="G65" s="106"/>
      <c r="H65" s="112" t="s">
        <v>323</v>
      </c>
      <c r="K65" s="26"/>
    </row>
    <row r="66" spans="1:11" s="24" customFormat="1" ht="54" customHeight="1" thickTop="1" thickBot="1" x14ac:dyDescent="0.9">
      <c r="A66" s="35" t="s">
        <v>320</v>
      </c>
      <c r="B66" s="36" t="s">
        <v>171</v>
      </c>
      <c r="C66" s="36" t="s">
        <v>325</v>
      </c>
      <c r="D66" s="36" t="s">
        <v>321</v>
      </c>
      <c r="E66" s="36" t="s">
        <v>311</v>
      </c>
      <c r="F66" s="102" t="s">
        <v>322</v>
      </c>
      <c r="G66" s="107" t="s">
        <v>179</v>
      </c>
      <c r="H66" s="107" t="s">
        <v>199</v>
      </c>
    </row>
    <row r="67" spans="1:11" ht="27" customHeight="1" thickTop="1" x14ac:dyDescent="0.85">
      <c r="A67" s="16">
        <v>1</v>
      </c>
      <c r="B67" s="16">
        <v>0</v>
      </c>
      <c r="C67" s="16" t="s">
        <v>168</v>
      </c>
      <c r="D67" s="16">
        <v>1.2</v>
      </c>
      <c r="E67" s="16">
        <v>20</v>
      </c>
      <c r="F67" s="103" t="s">
        <v>117</v>
      </c>
      <c r="G67" s="108">
        <v>13.5</v>
      </c>
      <c r="H67" s="108">
        <f>G67*((100-Discounts!$B$11)/100)</f>
        <v>5.4</v>
      </c>
    </row>
    <row r="68" spans="1:11" ht="27" customHeight="1" x14ac:dyDescent="0.85">
      <c r="A68" s="18">
        <v>1</v>
      </c>
      <c r="B68" s="18">
        <v>0</v>
      </c>
      <c r="C68" s="18" t="s">
        <v>168</v>
      </c>
      <c r="D68" s="18">
        <v>1.4</v>
      </c>
      <c r="E68" s="18">
        <v>20</v>
      </c>
      <c r="F68" s="98" t="s">
        <v>117</v>
      </c>
      <c r="G68" s="84">
        <v>13.5</v>
      </c>
      <c r="H68" s="84">
        <f>G68*((100-Discounts!$B$11)/100)</f>
        <v>5.4</v>
      </c>
    </row>
    <row r="69" spans="1:11" ht="27" customHeight="1" x14ac:dyDescent="0.85">
      <c r="A69" s="16">
        <v>1.5</v>
      </c>
      <c r="B69" s="16">
        <v>0</v>
      </c>
      <c r="C69" s="16" t="s">
        <v>168</v>
      </c>
      <c r="D69" s="16">
        <v>1.4</v>
      </c>
      <c r="E69" s="16">
        <v>15</v>
      </c>
      <c r="F69" s="97" t="s">
        <v>118</v>
      </c>
      <c r="G69" s="83">
        <v>18.75</v>
      </c>
      <c r="H69" s="83">
        <f>G69*((100-Discounts!$B$11)/100)</f>
        <v>7.5</v>
      </c>
    </row>
    <row r="70" spans="1:11" ht="27" customHeight="1" x14ac:dyDescent="0.85">
      <c r="A70" s="18">
        <v>2</v>
      </c>
      <c r="B70" s="18">
        <v>0</v>
      </c>
      <c r="C70" s="18" t="s">
        <v>168</v>
      </c>
      <c r="D70" s="18">
        <v>1.2</v>
      </c>
      <c r="E70" s="18">
        <v>10</v>
      </c>
      <c r="F70" s="98" t="s">
        <v>119</v>
      </c>
      <c r="G70" s="84">
        <v>23.25</v>
      </c>
      <c r="H70" s="84">
        <f>G70*((100-Discounts!$B$11)/100)</f>
        <v>9.3000000000000007</v>
      </c>
    </row>
    <row r="71" spans="1:11" ht="27" customHeight="1" x14ac:dyDescent="0.85">
      <c r="A71" s="16">
        <v>2</v>
      </c>
      <c r="B71" s="16">
        <v>0</v>
      </c>
      <c r="C71" s="16" t="s">
        <v>168</v>
      </c>
      <c r="D71" s="16">
        <v>1.4</v>
      </c>
      <c r="E71" s="16">
        <v>10</v>
      </c>
      <c r="F71" s="97" t="s">
        <v>119</v>
      </c>
      <c r="G71" s="83">
        <v>23.25</v>
      </c>
      <c r="H71" s="83">
        <f>G71*((100-Discounts!$B$11)/100)</f>
        <v>9.3000000000000007</v>
      </c>
    </row>
    <row r="72" spans="1:11" ht="27" customHeight="1" x14ac:dyDescent="0.85">
      <c r="A72" s="18">
        <v>2</v>
      </c>
      <c r="B72" s="18">
        <v>1</v>
      </c>
      <c r="C72" s="18" t="s">
        <v>178</v>
      </c>
      <c r="D72" s="18">
        <v>1.4</v>
      </c>
      <c r="E72" s="18">
        <v>10</v>
      </c>
      <c r="F72" s="98" t="s">
        <v>120</v>
      </c>
      <c r="G72" s="84">
        <v>29.25</v>
      </c>
      <c r="H72" s="84">
        <f>G72*((100-Discounts!$B$11)/100)</f>
        <v>11.700000000000001</v>
      </c>
    </row>
    <row r="73" spans="1:11" ht="27" customHeight="1" x14ac:dyDescent="0.85">
      <c r="A73" s="16">
        <v>3</v>
      </c>
      <c r="B73" s="16">
        <v>0</v>
      </c>
      <c r="C73" s="16" t="s">
        <v>168</v>
      </c>
      <c r="D73" s="16">
        <v>1.2</v>
      </c>
      <c r="E73" s="16">
        <v>10</v>
      </c>
      <c r="F73" s="97" t="s">
        <v>121</v>
      </c>
      <c r="G73" s="83">
        <v>32.75</v>
      </c>
      <c r="H73" s="83">
        <f>G73*((100-Discounts!$B$11)/100)</f>
        <v>13.100000000000001</v>
      </c>
    </row>
    <row r="74" spans="1:11" ht="27" customHeight="1" x14ac:dyDescent="0.85">
      <c r="A74" s="18">
        <v>3</v>
      </c>
      <c r="B74" s="18">
        <v>0</v>
      </c>
      <c r="C74" s="18" t="s">
        <v>168</v>
      </c>
      <c r="D74" s="18">
        <v>1.4</v>
      </c>
      <c r="E74" s="18">
        <v>10</v>
      </c>
      <c r="F74" s="98" t="s">
        <v>121</v>
      </c>
      <c r="G74" s="84">
        <v>32.75</v>
      </c>
      <c r="H74" s="84">
        <f>G74*((100-Discounts!$B$11)/100)</f>
        <v>13.100000000000001</v>
      </c>
    </row>
    <row r="75" spans="1:11" ht="27" customHeight="1" x14ac:dyDescent="0.85">
      <c r="A75" s="16">
        <v>3</v>
      </c>
      <c r="B75" s="16">
        <v>1</v>
      </c>
      <c r="C75" s="16" t="s">
        <v>178</v>
      </c>
      <c r="D75" s="16">
        <v>1.4</v>
      </c>
      <c r="E75" s="16">
        <v>10</v>
      </c>
      <c r="F75" s="97" t="s">
        <v>122</v>
      </c>
      <c r="G75" s="83">
        <v>38.75</v>
      </c>
      <c r="H75" s="83">
        <f>G75*((100-Discounts!$B$11)/100)</f>
        <v>15.5</v>
      </c>
    </row>
    <row r="76" spans="1:11" ht="27" customHeight="1" x14ac:dyDescent="0.85">
      <c r="A76" s="18">
        <v>3</v>
      </c>
      <c r="B76" s="18">
        <v>2</v>
      </c>
      <c r="C76" s="18" t="s">
        <v>178</v>
      </c>
      <c r="D76" s="18">
        <v>1.4</v>
      </c>
      <c r="E76" s="18">
        <v>10</v>
      </c>
      <c r="F76" s="98" t="s">
        <v>123</v>
      </c>
      <c r="G76" s="84">
        <v>44.75</v>
      </c>
      <c r="H76" s="84">
        <f>G76*((100-Discounts!$B$11)/100)</f>
        <v>17.900000000000002</v>
      </c>
    </row>
    <row r="77" spans="1:11" ht="27" customHeight="1" x14ac:dyDescent="0.85">
      <c r="A77" s="16">
        <v>4</v>
      </c>
      <c r="B77" s="16">
        <v>0</v>
      </c>
      <c r="C77" s="16" t="s">
        <v>168</v>
      </c>
      <c r="D77" s="16">
        <v>1.2</v>
      </c>
      <c r="E77" s="16">
        <v>10</v>
      </c>
      <c r="F77" s="97" t="s">
        <v>124</v>
      </c>
      <c r="G77" s="83">
        <v>43.75</v>
      </c>
      <c r="H77" s="83">
        <f>G77*((100-Discounts!$B$11)/100)</f>
        <v>17.5</v>
      </c>
    </row>
    <row r="78" spans="1:11" ht="27" customHeight="1" x14ac:dyDescent="0.85">
      <c r="A78" s="18">
        <v>4</v>
      </c>
      <c r="B78" s="18">
        <v>0</v>
      </c>
      <c r="C78" s="18" t="s">
        <v>168</v>
      </c>
      <c r="D78" s="18">
        <v>1.4</v>
      </c>
      <c r="E78" s="18">
        <v>10</v>
      </c>
      <c r="F78" s="98" t="s">
        <v>124</v>
      </c>
      <c r="G78" s="84">
        <v>43.75</v>
      </c>
      <c r="H78" s="84">
        <f>G78*((100-Discounts!$B$11)/100)</f>
        <v>17.5</v>
      </c>
    </row>
    <row r="79" spans="1:11" ht="27" customHeight="1" x14ac:dyDescent="0.85">
      <c r="A79" s="16">
        <v>4</v>
      </c>
      <c r="B79" s="16">
        <v>2</v>
      </c>
      <c r="C79" s="16" t="s">
        <v>178</v>
      </c>
      <c r="D79" s="16">
        <v>1.4</v>
      </c>
      <c r="E79" s="16">
        <v>10</v>
      </c>
      <c r="F79" s="97" t="s">
        <v>125</v>
      </c>
      <c r="G79" s="83">
        <v>55.75</v>
      </c>
      <c r="H79" s="83">
        <f>G79*((100-Discounts!$B$11)/100)</f>
        <v>22.3</v>
      </c>
    </row>
    <row r="80" spans="1:11" ht="27" customHeight="1" x14ac:dyDescent="0.85">
      <c r="A80" s="18">
        <v>5</v>
      </c>
      <c r="B80" s="18">
        <v>0</v>
      </c>
      <c r="C80" s="18" t="s">
        <v>168</v>
      </c>
      <c r="D80" s="18">
        <v>1.2</v>
      </c>
      <c r="E80" s="18">
        <v>10</v>
      </c>
      <c r="F80" s="98" t="s">
        <v>126</v>
      </c>
      <c r="G80" s="84">
        <v>53.5</v>
      </c>
      <c r="H80" s="84">
        <f>G80*((100-Discounts!$B$11)/100)</f>
        <v>21.400000000000002</v>
      </c>
    </row>
    <row r="81" spans="1:11" ht="27" customHeight="1" x14ac:dyDescent="0.85">
      <c r="A81" s="16">
        <v>5</v>
      </c>
      <c r="B81" s="16">
        <v>0</v>
      </c>
      <c r="C81" s="16" t="s">
        <v>168</v>
      </c>
      <c r="D81" s="16">
        <v>1.4</v>
      </c>
      <c r="E81" s="16">
        <v>10</v>
      </c>
      <c r="F81" s="97" t="s">
        <v>126</v>
      </c>
      <c r="G81" s="83">
        <v>53.5</v>
      </c>
      <c r="H81" s="83">
        <f>G81*((100-Discounts!$B$11)/100)</f>
        <v>21.400000000000002</v>
      </c>
    </row>
    <row r="82" spans="1:11" ht="27" customHeight="1" x14ac:dyDescent="0.85">
      <c r="A82" s="18">
        <v>5</v>
      </c>
      <c r="B82" s="18">
        <v>2</v>
      </c>
      <c r="C82" s="18" t="s">
        <v>178</v>
      </c>
      <c r="D82" s="18">
        <v>1.4</v>
      </c>
      <c r="E82" s="18">
        <v>10</v>
      </c>
      <c r="F82" s="98" t="s">
        <v>127</v>
      </c>
      <c r="G82" s="84">
        <v>65.5</v>
      </c>
      <c r="H82" s="84">
        <f>G82*((100-Discounts!$B$11)/100)</f>
        <v>26.200000000000003</v>
      </c>
    </row>
    <row r="83" spans="1:11" ht="27" customHeight="1" x14ac:dyDescent="0.85">
      <c r="A83" s="16">
        <v>6</v>
      </c>
      <c r="B83" s="16">
        <v>0</v>
      </c>
      <c r="C83" s="16" t="s">
        <v>168</v>
      </c>
      <c r="D83" s="16">
        <v>1.4</v>
      </c>
      <c r="E83" s="16">
        <v>10</v>
      </c>
      <c r="F83" s="97" t="s">
        <v>128</v>
      </c>
      <c r="G83" s="83">
        <v>63.5</v>
      </c>
      <c r="H83" s="83">
        <f>G83*((100-Discounts!$B$11)/100)</f>
        <v>25.400000000000002</v>
      </c>
    </row>
    <row r="84" spans="1:11" ht="27" customHeight="1" x14ac:dyDescent="0.85">
      <c r="A84" s="18">
        <v>8</v>
      </c>
      <c r="B84" s="18">
        <v>0</v>
      </c>
      <c r="C84" s="18" t="s">
        <v>168</v>
      </c>
      <c r="D84" s="18">
        <v>1.4</v>
      </c>
      <c r="E84" s="18">
        <v>5</v>
      </c>
      <c r="F84" s="98" t="s">
        <v>129</v>
      </c>
      <c r="G84" s="84">
        <v>83.5</v>
      </c>
      <c r="H84" s="84">
        <f>G84*((100-Discounts!$B$11)/100)</f>
        <v>33.4</v>
      </c>
    </row>
    <row r="85" spans="1:11" ht="27" customHeight="1" x14ac:dyDescent="0.85">
      <c r="A85" s="16">
        <v>8</v>
      </c>
      <c r="B85" s="16">
        <v>0</v>
      </c>
      <c r="C85" s="16" t="s">
        <v>168</v>
      </c>
      <c r="D85" s="16">
        <v>1.4</v>
      </c>
      <c r="E85" s="16">
        <v>10</v>
      </c>
      <c r="F85" s="97" t="s">
        <v>129</v>
      </c>
      <c r="G85" s="83">
        <v>83.5</v>
      </c>
      <c r="H85" s="83">
        <f>G85*((100-Discounts!$B$11)/100)</f>
        <v>33.4</v>
      </c>
    </row>
    <row r="86" spans="1:11" ht="27" customHeight="1" thickBot="1" x14ac:dyDescent="0.9">
      <c r="A86" s="18">
        <v>10</v>
      </c>
      <c r="B86" s="18">
        <v>0</v>
      </c>
      <c r="C86" s="18" t="s">
        <v>168</v>
      </c>
      <c r="D86" s="18">
        <v>1.4</v>
      </c>
      <c r="E86" s="18">
        <v>5</v>
      </c>
      <c r="F86" s="98" t="s">
        <v>130</v>
      </c>
      <c r="G86" s="84">
        <v>102.5</v>
      </c>
      <c r="H86" s="84">
        <f>G86*((100-Discounts!$B$11)/100)</f>
        <v>41</v>
      </c>
    </row>
    <row r="87" spans="1:11" s="25" customFormat="1" ht="40.5" customHeight="1" thickTop="1" thickBot="1" x14ac:dyDescent="0.9">
      <c r="A87" s="33" t="s">
        <v>208</v>
      </c>
      <c r="B87" s="34"/>
      <c r="C87" s="34"/>
      <c r="D87" s="34"/>
      <c r="E87" s="34"/>
      <c r="F87" s="101"/>
      <c r="G87" s="106"/>
      <c r="H87" s="112" t="s">
        <v>323</v>
      </c>
      <c r="K87" s="26"/>
    </row>
    <row r="88" spans="1:11" s="24" customFormat="1" ht="54" customHeight="1" thickTop="1" thickBot="1" x14ac:dyDescent="0.9">
      <c r="A88" s="35" t="s">
        <v>320</v>
      </c>
      <c r="B88" s="36" t="s">
        <v>171</v>
      </c>
      <c r="C88" s="36" t="s">
        <v>325</v>
      </c>
      <c r="D88" s="36" t="s">
        <v>321</v>
      </c>
      <c r="E88" s="36" t="s">
        <v>311</v>
      </c>
      <c r="F88" s="102" t="s">
        <v>322</v>
      </c>
      <c r="G88" s="107" t="s">
        <v>179</v>
      </c>
      <c r="H88" s="107" t="s">
        <v>199</v>
      </c>
    </row>
    <row r="89" spans="1:11" ht="27" customHeight="1" thickTop="1" x14ac:dyDescent="0.85">
      <c r="A89" s="16">
        <v>0.5</v>
      </c>
      <c r="B89" s="16" t="s">
        <v>168</v>
      </c>
      <c r="C89" s="16" t="s">
        <v>168</v>
      </c>
      <c r="D89" s="16">
        <v>1.4</v>
      </c>
      <c r="E89" s="16">
        <v>20</v>
      </c>
      <c r="F89" s="103" t="s">
        <v>704</v>
      </c>
      <c r="G89" s="108">
        <v>11.75</v>
      </c>
      <c r="H89" s="108">
        <f>G89*((100-Discounts!$B$12)/100)</f>
        <v>4.7</v>
      </c>
    </row>
    <row r="90" spans="1:11" ht="27" customHeight="1" x14ac:dyDescent="0.85">
      <c r="A90" s="18">
        <v>1</v>
      </c>
      <c r="B90" s="18" t="s">
        <v>168</v>
      </c>
      <c r="C90" s="18" t="s">
        <v>168</v>
      </c>
      <c r="D90" s="18">
        <v>1.4</v>
      </c>
      <c r="E90" s="18">
        <v>20</v>
      </c>
      <c r="F90" s="98" t="s">
        <v>109</v>
      </c>
      <c r="G90" s="84">
        <v>18.5</v>
      </c>
      <c r="H90" s="84">
        <f>G90*((100-Discounts!$B$12)/100)</f>
        <v>7.4</v>
      </c>
    </row>
    <row r="91" spans="1:11" ht="27" customHeight="1" x14ac:dyDescent="0.85">
      <c r="A91" s="16">
        <v>1.5</v>
      </c>
      <c r="B91" s="16" t="s">
        <v>168</v>
      </c>
      <c r="C91" s="16" t="s">
        <v>168</v>
      </c>
      <c r="D91" s="16">
        <v>1.4</v>
      </c>
      <c r="E91" s="16">
        <v>15</v>
      </c>
      <c r="F91" s="97" t="s">
        <v>177</v>
      </c>
      <c r="G91" s="83">
        <v>26</v>
      </c>
      <c r="H91" s="83">
        <f>G91*((100-Discounts!$B$12)/100)</f>
        <v>10.4</v>
      </c>
    </row>
    <row r="92" spans="1:11" ht="27" customHeight="1" x14ac:dyDescent="0.85">
      <c r="A92" s="18">
        <v>2</v>
      </c>
      <c r="B92" s="18" t="s">
        <v>168</v>
      </c>
      <c r="C92" s="18" t="s">
        <v>168</v>
      </c>
      <c r="D92" s="18">
        <v>1.4</v>
      </c>
      <c r="E92" s="18">
        <v>10</v>
      </c>
      <c r="F92" s="98" t="s">
        <v>110</v>
      </c>
      <c r="G92" s="84">
        <v>33</v>
      </c>
      <c r="H92" s="84">
        <f>G92*((100-Discounts!$B$12)/100)</f>
        <v>13.200000000000001</v>
      </c>
    </row>
    <row r="93" spans="1:11" ht="27" customHeight="1" x14ac:dyDescent="0.85">
      <c r="A93" s="16">
        <v>3</v>
      </c>
      <c r="B93" s="16" t="s">
        <v>168</v>
      </c>
      <c r="C93" s="16" t="s">
        <v>168</v>
      </c>
      <c r="D93" s="16">
        <v>1.4</v>
      </c>
      <c r="E93" s="16">
        <v>10</v>
      </c>
      <c r="F93" s="97" t="s">
        <v>111</v>
      </c>
      <c r="G93" s="83">
        <v>47</v>
      </c>
      <c r="H93" s="83">
        <f>G93*((100-Discounts!$B$12)/100)</f>
        <v>18.8</v>
      </c>
    </row>
    <row r="94" spans="1:11" ht="27" customHeight="1" x14ac:dyDescent="0.85">
      <c r="A94" s="18">
        <v>4</v>
      </c>
      <c r="B94" s="18" t="s">
        <v>168</v>
      </c>
      <c r="C94" s="18" t="s">
        <v>168</v>
      </c>
      <c r="D94" s="18">
        <v>1.4</v>
      </c>
      <c r="E94" s="18">
        <v>10</v>
      </c>
      <c r="F94" s="98" t="s">
        <v>112</v>
      </c>
      <c r="G94" s="84">
        <v>62.75</v>
      </c>
      <c r="H94" s="84">
        <f>G94*((100-Discounts!$B$12)/100)</f>
        <v>25.1</v>
      </c>
    </row>
    <row r="95" spans="1:11" ht="27" customHeight="1" x14ac:dyDescent="0.85">
      <c r="A95" s="16">
        <v>5</v>
      </c>
      <c r="B95" s="16" t="s">
        <v>168</v>
      </c>
      <c r="C95" s="16" t="s">
        <v>168</v>
      </c>
      <c r="D95" s="16">
        <v>1.4</v>
      </c>
      <c r="E95" s="16">
        <v>10</v>
      </c>
      <c r="F95" s="97" t="s">
        <v>113</v>
      </c>
      <c r="G95" s="83">
        <v>77.5</v>
      </c>
      <c r="H95" s="83">
        <f>G95*((100-Discounts!$B$12)/100)</f>
        <v>31</v>
      </c>
    </row>
    <row r="96" spans="1:11" ht="27" customHeight="1" x14ac:dyDescent="0.85">
      <c r="A96" s="18">
        <v>6</v>
      </c>
      <c r="B96" s="18" t="s">
        <v>168</v>
      </c>
      <c r="C96" s="18" t="s">
        <v>168</v>
      </c>
      <c r="D96" s="18">
        <v>1.4</v>
      </c>
      <c r="E96" s="18">
        <v>10</v>
      </c>
      <c r="F96" s="98" t="s">
        <v>114</v>
      </c>
      <c r="G96" s="84">
        <v>92</v>
      </c>
      <c r="H96" s="84">
        <f>G96*((100-Discounts!$B$12)/100)</f>
        <v>36.800000000000004</v>
      </c>
    </row>
    <row r="97" spans="1:11" ht="27" customHeight="1" x14ac:dyDescent="0.85">
      <c r="A97" s="16">
        <v>8</v>
      </c>
      <c r="B97" s="16" t="s">
        <v>168</v>
      </c>
      <c r="C97" s="16" t="s">
        <v>168</v>
      </c>
      <c r="D97" s="16">
        <v>1.4</v>
      </c>
      <c r="E97" s="16">
        <v>5</v>
      </c>
      <c r="F97" s="97" t="s">
        <v>115</v>
      </c>
      <c r="G97" s="83">
        <v>122.5</v>
      </c>
      <c r="H97" s="83">
        <f>G97*((100-Discounts!$B$12)/100)</f>
        <v>49</v>
      </c>
    </row>
    <row r="98" spans="1:11" ht="27" customHeight="1" thickBot="1" x14ac:dyDescent="0.9">
      <c r="A98" s="18">
        <v>10</v>
      </c>
      <c r="B98" s="18" t="s">
        <v>168</v>
      </c>
      <c r="C98" s="18" t="s">
        <v>168</v>
      </c>
      <c r="D98" s="18">
        <v>1.4</v>
      </c>
      <c r="E98" s="18">
        <v>5</v>
      </c>
      <c r="F98" s="98" t="s">
        <v>116</v>
      </c>
      <c r="G98" s="84">
        <v>150.25</v>
      </c>
      <c r="H98" s="84">
        <f>G98*((100-Discounts!$B$12)/100)</f>
        <v>60.1</v>
      </c>
    </row>
    <row r="99" spans="1:11" s="25" customFormat="1" ht="40.5" customHeight="1" thickTop="1" thickBot="1" x14ac:dyDescent="0.9">
      <c r="A99" s="33" t="s">
        <v>370</v>
      </c>
      <c r="B99" s="34"/>
      <c r="C99" s="34"/>
      <c r="D99" s="34"/>
      <c r="E99" s="34"/>
      <c r="F99" s="101"/>
      <c r="G99" s="106"/>
      <c r="H99" s="112" t="s">
        <v>323</v>
      </c>
      <c r="K99" s="26"/>
    </row>
    <row r="100" spans="1:11" s="24" customFormat="1" ht="54" customHeight="1" thickTop="1" thickBot="1" x14ac:dyDescent="0.9">
      <c r="A100" s="35" t="s">
        <v>320</v>
      </c>
      <c r="B100" s="36" t="s">
        <v>171</v>
      </c>
      <c r="C100" s="36" t="s">
        <v>325</v>
      </c>
      <c r="D100" s="36" t="s">
        <v>321</v>
      </c>
      <c r="E100" s="36" t="s">
        <v>311</v>
      </c>
      <c r="F100" s="102" t="s">
        <v>322</v>
      </c>
      <c r="G100" s="107" t="s">
        <v>684</v>
      </c>
      <c r="H100" s="107" t="s">
        <v>199</v>
      </c>
    </row>
    <row r="101" spans="1:11" ht="27" customHeight="1" thickTop="1" x14ac:dyDescent="0.85">
      <c r="A101" s="16">
        <v>2</v>
      </c>
      <c r="B101" s="16" t="s">
        <v>168</v>
      </c>
      <c r="C101" s="16" t="s">
        <v>168</v>
      </c>
      <c r="D101" s="16">
        <v>1.4</v>
      </c>
      <c r="E101" s="16">
        <v>10</v>
      </c>
      <c r="F101" s="19" t="s">
        <v>367</v>
      </c>
      <c r="G101" s="83">
        <v>43.5</v>
      </c>
      <c r="H101" s="83">
        <f>G101*((100-Discounts!$B$12)/100)</f>
        <v>17.400000000000002</v>
      </c>
    </row>
    <row r="102" spans="1:11" ht="27" customHeight="1" x14ac:dyDescent="0.85">
      <c r="A102" s="18">
        <v>3</v>
      </c>
      <c r="B102" s="18" t="s">
        <v>168</v>
      </c>
      <c r="C102" s="18" t="s">
        <v>168</v>
      </c>
      <c r="D102" s="18">
        <v>1.4</v>
      </c>
      <c r="E102" s="18">
        <v>10</v>
      </c>
      <c r="F102" s="20" t="s">
        <v>368</v>
      </c>
      <c r="G102" s="84">
        <v>62</v>
      </c>
      <c r="H102" s="84">
        <f>G102*((100-Discounts!$B$12)/100)</f>
        <v>24.8</v>
      </c>
    </row>
    <row r="103" spans="1:11" ht="27" customHeight="1" thickBot="1" x14ac:dyDescent="0.9">
      <c r="A103" s="16">
        <v>4</v>
      </c>
      <c r="B103" s="16" t="s">
        <v>168</v>
      </c>
      <c r="C103" s="16" t="s">
        <v>168</v>
      </c>
      <c r="D103" s="16">
        <v>1.4</v>
      </c>
      <c r="E103" s="16">
        <v>10</v>
      </c>
      <c r="F103" s="19" t="s">
        <v>369</v>
      </c>
      <c r="G103" s="83">
        <v>82.5</v>
      </c>
      <c r="H103" s="83">
        <f>G103*((100-Discounts!$B$12)/100)</f>
        <v>33</v>
      </c>
    </row>
    <row r="104" spans="1:11" ht="40.5" customHeight="1" thickTop="1" thickBot="1" x14ac:dyDescent="0.9">
      <c r="A104" s="33" t="s">
        <v>685</v>
      </c>
      <c r="B104" s="34"/>
      <c r="C104" s="34"/>
      <c r="D104" s="34"/>
      <c r="E104" s="34"/>
      <c r="F104" s="101"/>
      <c r="G104" s="106"/>
      <c r="H104" s="112" t="s">
        <v>323</v>
      </c>
    </row>
    <row r="105" spans="1:11" ht="54" customHeight="1" thickTop="1" thickBot="1" x14ac:dyDescent="0.9">
      <c r="A105" s="35" t="s">
        <v>320</v>
      </c>
      <c r="B105" s="36" t="s">
        <v>171</v>
      </c>
      <c r="C105" s="36" t="s">
        <v>325</v>
      </c>
      <c r="D105" s="36" t="s">
        <v>321</v>
      </c>
      <c r="E105" s="36" t="s">
        <v>311</v>
      </c>
      <c r="F105" s="102" t="s">
        <v>322</v>
      </c>
      <c r="G105" s="107" t="s">
        <v>684</v>
      </c>
      <c r="H105" s="107" t="s">
        <v>199</v>
      </c>
    </row>
    <row r="106" spans="1:11" ht="27" customHeight="1" thickTop="1" x14ac:dyDescent="0.85">
      <c r="A106" s="16">
        <v>1</v>
      </c>
      <c r="B106" s="16" t="s">
        <v>168</v>
      </c>
      <c r="C106" s="16" t="s">
        <v>168</v>
      </c>
      <c r="D106" s="16">
        <v>1.4</v>
      </c>
      <c r="E106" s="16">
        <v>10</v>
      </c>
      <c r="F106" s="19" t="s">
        <v>686</v>
      </c>
      <c r="G106" s="83">
        <v>11</v>
      </c>
      <c r="H106" s="83">
        <f>G106*((100-Discounts!$B$13)/100)</f>
        <v>4.62</v>
      </c>
    </row>
    <row r="107" spans="1:11" ht="27" customHeight="1" x14ac:dyDescent="0.85">
      <c r="A107" s="18">
        <v>2</v>
      </c>
      <c r="B107" s="18" t="s">
        <v>168</v>
      </c>
      <c r="C107" s="18" t="s">
        <v>168</v>
      </c>
      <c r="D107" s="18">
        <v>1.4</v>
      </c>
      <c r="E107" s="18">
        <v>10</v>
      </c>
      <c r="F107" s="20" t="s">
        <v>687</v>
      </c>
      <c r="G107" s="84">
        <v>19</v>
      </c>
      <c r="H107" s="84">
        <f>G107*((100-Discounts!$B$13)/100)</f>
        <v>7.9799999999999995</v>
      </c>
    </row>
    <row r="108" spans="1:11" ht="27" customHeight="1" x14ac:dyDescent="0.85">
      <c r="A108" s="16">
        <v>2.5</v>
      </c>
      <c r="B108" s="16" t="s">
        <v>168</v>
      </c>
      <c r="C108" s="16" t="s">
        <v>168</v>
      </c>
      <c r="D108" s="16">
        <v>1.4</v>
      </c>
      <c r="E108" s="16">
        <v>10</v>
      </c>
      <c r="F108" s="19" t="s">
        <v>688</v>
      </c>
      <c r="G108" s="83">
        <v>23.75</v>
      </c>
      <c r="H108" s="83">
        <f>G108*((100-Discounts!$B$13)/100)</f>
        <v>9.9749999999999996</v>
      </c>
    </row>
    <row r="109" spans="1:11" ht="27" customHeight="1" x14ac:dyDescent="0.85">
      <c r="A109" s="18">
        <v>3</v>
      </c>
      <c r="B109" s="18" t="s">
        <v>168</v>
      </c>
      <c r="C109" s="18" t="s">
        <v>168</v>
      </c>
      <c r="D109" s="18">
        <v>1.4</v>
      </c>
      <c r="E109" s="18">
        <v>10</v>
      </c>
      <c r="F109" s="20" t="s">
        <v>689</v>
      </c>
      <c r="G109" s="84">
        <v>26.75</v>
      </c>
      <c r="H109" s="84">
        <f>G109*((100-Discounts!$B$13)/100)</f>
        <v>11.234999999999999</v>
      </c>
    </row>
    <row r="110" spans="1:11" ht="27" customHeight="1" x14ac:dyDescent="0.85">
      <c r="A110" s="16">
        <v>4</v>
      </c>
      <c r="B110" s="16" t="s">
        <v>168</v>
      </c>
      <c r="C110" s="16" t="s">
        <v>168</v>
      </c>
      <c r="D110" s="16">
        <v>1.4</v>
      </c>
      <c r="E110" s="16">
        <v>10</v>
      </c>
      <c r="F110" s="19" t="s">
        <v>690</v>
      </c>
      <c r="G110" s="83">
        <v>35.5</v>
      </c>
      <c r="H110" s="83">
        <f>G110*((100-Discounts!$B$13)/100)</f>
        <v>14.91</v>
      </c>
    </row>
    <row r="111" spans="1:11" ht="27" customHeight="1" x14ac:dyDescent="0.85">
      <c r="A111" s="18">
        <v>5</v>
      </c>
      <c r="B111" s="18" t="s">
        <v>168</v>
      </c>
      <c r="C111" s="18" t="s">
        <v>168</v>
      </c>
      <c r="D111" s="18">
        <v>1.4</v>
      </c>
      <c r="E111" s="18">
        <v>10</v>
      </c>
      <c r="F111" s="20" t="s">
        <v>691</v>
      </c>
      <c r="G111" s="84">
        <v>43.5</v>
      </c>
      <c r="H111" s="84">
        <f>G111*((100-Discounts!$B$13)/100)</f>
        <v>18.27</v>
      </c>
    </row>
    <row r="112" spans="1:11" ht="27" customHeight="1" x14ac:dyDescent="0.85">
      <c r="A112" s="16">
        <v>6</v>
      </c>
      <c r="B112" s="16" t="s">
        <v>168</v>
      </c>
      <c r="C112" s="16" t="s">
        <v>168</v>
      </c>
      <c r="D112" s="16">
        <v>1.4</v>
      </c>
      <c r="E112" s="16">
        <v>10</v>
      </c>
      <c r="F112" s="19" t="s">
        <v>692</v>
      </c>
      <c r="G112" s="83">
        <v>51.25</v>
      </c>
      <c r="H112" s="83">
        <f>G112*((100-Discounts!$B$13)/100)</f>
        <v>21.524999999999999</v>
      </c>
    </row>
    <row r="113" spans="1:8" ht="27" customHeight="1" x14ac:dyDescent="0.85">
      <c r="A113" s="18">
        <v>8</v>
      </c>
      <c r="B113" s="18" t="s">
        <v>168</v>
      </c>
      <c r="C113" s="18" t="s">
        <v>168</v>
      </c>
      <c r="D113" s="18">
        <v>1.4</v>
      </c>
      <c r="E113" s="18">
        <v>5</v>
      </c>
      <c r="F113" s="20" t="s">
        <v>693</v>
      </c>
      <c r="G113" s="84">
        <v>67.25</v>
      </c>
      <c r="H113" s="84">
        <f>G113*((100-Discounts!$B$13)/100)</f>
        <v>28.244999999999997</v>
      </c>
    </row>
    <row r="114" spans="1:8" ht="27" customHeight="1" x14ac:dyDescent="0.85">
      <c r="A114" s="16">
        <v>10</v>
      </c>
      <c r="B114" s="16" t="s">
        <v>168</v>
      </c>
      <c r="C114" s="16" t="s">
        <v>168</v>
      </c>
      <c r="D114" s="16">
        <v>1.4</v>
      </c>
      <c r="E114" s="16">
        <v>5</v>
      </c>
      <c r="F114" s="19" t="s">
        <v>694</v>
      </c>
      <c r="G114" s="83">
        <v>82.5</v>
      </c>
      <c r="H114" s="83">
        <f>G114*((100-Discounts!$B$13)/100)</f>
        <v>34.65</v>
      </c>
    </row>
    <row r="115" spans="1:8" ht="27" customHeight="1" x14ac:dyDescent="0.85">
      <c r="A115" s="18">
        <v>12</v>
      </c>
      <c r="B115" s="18" t="s">
        <v>168</v>
      </c>
      <c r="C115" s="18" t="s">
        <v>168</v>
      </c>
      <c r="D115" s="18">
        <v>1.4</v>
      </c>
      <c r="E115" s="18">
        <v>5</v>
      </c>
      <c r="F115" s="20" t="s">
        <v>695</v>
      </c>
      <c r="G115" s="84">
        <v>98.5</v>
      </c>
      <c r="H115" s="84">
        <f>G115*((100-Discounts!$B$13)/100)</f>
        <v>41.37</v>
      </c>
    </row>
    <row r="116" spans="1:8" ht="27" customHeight="1" x14ac:dyDescent="0.85">
      <c r="A116" s="16">
        <v>20</v>
      </c>
      <c r="B116" s="16" t="s">
        <v>168</v>
      </c>
      <c r="C116" s="16" t="s">
        <v>168</v>
      </c>
      <c r="D116" s="16">
        <v>1.4</v>
      </c>
      <c r="E116" s="16">
        <v>5</v>
      </c>
      <c r="F116" s="19" t="s">
        <v>696</v>
      </c>
      <c r="G116" s="83">
        <v>157.25</v>
      </c>
      <c r="H116" s="83">
        <f>G116*((100-Discounts!$B$13)/100)</f>
        <v>66.045000000000002</v>
      </c>
    </row>
  </sheetData>
  <hyperlinks>
    <hyperlink ref="A1:D1" r:id="rId1" display="NBR Rubber sheets" xr:uid="{DB0E6911-A5AE-4F1D-AA75-5AA4F8D97F7C}"/>
    <hyperlink ref="H2" r:id="rId2" xr:uid="{4EC825AC-C88A-40F1-8175-44315EC01D7D}"/>
    <hyperlink ref="A2" r:id="rId3" xr:uid="{20787E47-1505-46F3-B39F-2E96893BBD99}"/>
    <hyperlink ref="H30" r:id="rId4" xr:uid="{9A60DB35-82F7-4158-A070-A7187C599BAB}"/>
    <hyperlink ref="A30" r:id="rId5" xr:uid="{E4D60A76-1413-4D78-9609-BD54B0516E09}"/>
    <hyperlink ref="H52" r:id="rId6" xr:uid="{FE94595D-BB4A-4FD5-BDB7-ECE903445F4C}"/>
    <hyperlink ref="A52" r:id="rId7" xr:uid="{D290BD4C-7338-4297-9DC1-1DC5D52BEE8B}"/>
    <hyperlink ref="H65" r:id="rId8" xr:uid="{343128E3-AB0F-490A-8145-CA7F4BE787E7}"/>
    <hyperlink ref="A65" r:id="rId9" xr:uid="{A7B0F804-6E2B-4C04-A67B-AF765DF33FFC}"/>
    <hyperlink ref="H87" r:id="rId10" xr:uid="{EB5458D8-966F-4ED9-BFED-1E5EDEECEA88}"/>
    <hyperlink ref="A87" r:id="rId11" xr:uid="{B9ED13F5-BCF3-4883-ABD3-733A9CC693FF}"/>
    <hyperlink ref="H99" r:id="rId12" xr:uid="{98852864-D8FC-4FD2-A54C-E480024FFD56}"/>
    <hyperlink ref="A99" r:id="rId13" xr:uid="{22B2A183-A379-423F-BFC9-8EC57DA87C01}"/>
    <hyperlink ref="H104" r:id="rId14" xr:uid="{3FFE1027-84BC-4315-8188-95D18F1D0904}"/>
    <hyperlink ref="A104" r:id="rId15" xr:uid="{915F2406-BED7-4B39-BEDD-792F61239FBC}"/>
  </hyperlinks>
  <pageMargins left="0.51181102362204722" right="0.51181102362204722" top="0.35433070866141736" bottom="0.35433070866141736" header="0.11811023622047245" footer="0.11811023622047245"/>
  <pageSetup paperSize="9" scale="74" fitToHeight="0" orientation="landscape" r:id="rId16"/>
  <headerFooter>
    <oddFooter>&amp;R&amp;P van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30613"/>
    <pageSetUpPr fitToPage="1"/>
  </sheetPr>
  <dimension ref="A1:N116"/>
  <sheetViews>
    <sheetView zoomScale="50" zoomScaleNormal="50" workbookViewId="0">
      <selection activeCell="H116" sqref="A1:H116"/>
    </sheetView>
  </sheetViews>
  <sheetFormatPr defaultColWidth="8.6640625" defaultRowHeight="27" customHeight="1" x14ac:dyDescent="0.85"/>
  <cols>
    <col min="1" max="5" width="16.5546875" style="3" customWidth="1"/>
    <col min="6" max="6" width="20.5546875" style="122" customWidth="1"/>
    <col min="7" max="7" width="20.5546875" style="116" customWidth="1"/>
    <col min="8" max="8" width="20.5546875" style="3" customWidth="1"/>
    <col min="9" max="16384" width="8.6640625" style="3"/>
  </cols>
  <sheetData>
    <row r="1" spans="1:14" s="11" customFormat="1" ht="40.5" customHeight="1" thickBot="1" x14ac:dyDescent="0.9">
      <c r="A1" s="212" t="s">
        <v>373</v>
      </c>
      <c r="B1" s="212"/>
      <c r="C1" s="212"/>
      <c r="D1" s="212"/>
      <c r="E1" s="50"/>
      <c r="F1" s="127"/>
      <c r="G1" s="113"/>
      <c r="H1" s="50"/>
      <c r="L1" s="12"/>
    </row>
    <row r="2" spans="1:14" s="11" customFormat="1" ht="40.5" customHeight="1" thickTop="1" thickBot="1" x14ac:dyDescent="0.9">
      <c r="A2" s="45" t="s">
        <v>211</v>
      </c>
      <c r="B2" s="46"/>
      <c r="C2" s="46"/>
      <c r="D2" s="46"/>
      <c r="E2" s="46"/>
      <c r="F2" s="128"/>
      <c r="G2" s="114"/>
      <c r="H2" s="47" t="s">
        <v>323</v>
      </c>
      <c r="J2" s="13"/>
      <c r="N2" s="12"/>
    </row>
    <row r="3" spans="1:14" s="24" customFormat="1" ht="54" customHeight="1" thickTop="1" thickBot="1" x14ac:dyDescent="0.9">
      <c r="A3" s="48" t="s">
        <v>320</v>
      </c>
      <c r="B3" s="49" t="s">
        <v>171</v>
      </c>
      <c r="C3" s="49" t="s">
        <v>325</v>
      </c>
      <c r="D3" s="49" t="s">
        <v>321</v>
      </c>
      <c r="E3" s="49" t="s">
        <v>311</v>
      </c>
      <c r="F3" s="129" t="s">
        <v>322</v>
      </c>
      <c r="G3" s="115" t="s">
        <v>179</v>
      </c>
      <c r="H3" s="49" t="s">
        <v>199</v>
      </c>
    </row>
    <row r="4" spans="1:14" s="14" customFormat="1" ht="27" customHeight="1" thickTop="1" x14ac:dyDescent="0.85">
      <c r="A4" s="16">
        <v>1</v>
      </c>
      <c r="B4" s="16" t="s">
        <v>168</v>
      </c>
      <c r="C4" s="16" t="s">
        <v>168</v>
      </c>
      <c r="D4" s="16">
        <v>1.4</v>
      </c>
      <c r="E4" s="16">
        <v>20</v>
      </c>
      <c r="F4" s="103" t="s">
        <v>134</v>
      </c>
      <c r="G4" s="108">
        <v>9.75</v>
      </c>
      <c r="H4" s="108">
        <f>G4*((100-Discounts!$B$15)/100)</f>
        <v>3.9000000000000004</v>
      </c>
    </row>
    <row r="5" spans="1:14" s="14" customFormat="1" ht="27" customHeight="1" x14ac:dyDescent="0.85">
      <c r="A5" s="18">
        <v>1.5</v>
      </c>
      <c r="B5" s="18" t="s">
        <v>168</v>
      </c>
      <c r="C5" s="18" t="s">
        <v>168</v>
      </c>
      <c r="D5" s="18">
        <v>1.4</v>
      </c>
      <c r="E5" s="18">
        <v>15</v>
      </c>
      <c r="F5" s="98" t="s">
        <v>35</v>
      </c>
      <c r="G5" s="84">
        <v>13.25</v>
      </c>
      <c r="H5" s="84">
        <f>G5*((100-Discounts!$B$15)/100)</f>
        <v>5.3000000000000007</v>
      </c>
    </row>
    <row r="6" spans="1:14" s="14" customFormat="1" ht="27" customHeight="1" x14ac:dyDescent="0.85">
      <c r="A6" s="16">
        <v>2</v>
      </c>
      <c r="B6" s="16" t="s">
        <v>168</v>
      </c>
      <c r="C6" s="16" t="s">
        <v>168</v>
      </c>
      <c r="D6" s="16">
        <v>1.2</v>
      </c>
      <c r="E6" s="16">
        <v>10</v>
      </c>
      <c r="F6" s="97" t="s">
        <v>36</v>
      </c>
      <c r="G6" s="83">
        <v>16.25</v>
      </c>
      <c r="H6" s="83">
        <f>G6*((100-Discounts!$B$15)/100)</f>
        <v>6.5</v>
      </c>
    </row>
    <row r="7" spans="1:14" s="14" customFormat="1" ht="27" customHeight="1" x14ac:dyDescent="0.85">
      <c r="A7" s="18">
        <v>2</v>
      </c>
      <c r="B7" s="18" t="s">
        <v>168</v>
      </c>
      <c r="C7" s="18" t="s">
        <v>168</v>
      </c>
      <c r="D7" s="18">
        <v>1.4</v>
      </c>
      <c r="E7" s="18">
        <v>10</v>
      </c>
      <c r="F7" s="98" t="s">
        <v>36</v>
      </c>
      <c r="G7" s="84">
        <v>16.25</v>
      </c>
      <c r="H7" s="84">
        <f>G7*((100-Discounts!$B$15)/100)</f>
        <v>6.5</v>
      </c>
    </row>
    <row r="8" spans="1:14" s="14" customFormat="1" ht="27" customHeight="1" x14ac:dyDescent="0.85">
      <c r="A8" s="16">
        <v>3</v>
      </c>
      <c r="B8" s="16" t="s">
        <v>168</v>
      </c>
      <c r="C8" s="16" t="s">
        <v>168</v>
      </c>
      <c r="D8" s="16">
        <v>1.2</v>
      </c>
      <c r="E8" s="16">
        <v>10</v>
      </c>
      <c r="F8" s="97" t="s">
        <v>38</v>
      </c>
      <c r="G8" s="83">
        <v>23</v>
      </c>
      <c r="H8" s="83">
        <f>G8*((100-Discounts!$B$15)/100)</f>
        <v>9.2000000000000011</v>
      </c>
    </row>
    <row r="9" spans="1:14" s="14" customFormat="1" ht="27" customHeight="1" x14ac:dyDescent="0.85">
      <c r="A9" s="18">
        <v>3</v>
      </c>
      <c r="B9" s="18" t="s">
        <v>168</v>
      </c>
      <c r="C9" s="18" t="s">
        <v>168</v>
      </c>
      <c r="D9" s="18">
        <v>1.4</v>
      </c>
      <c r="E9" s="18">
        <v>10</v>
      </c>
      <c r="F9" s="98" t="s">
        <v>38</v>
      </c>
      <c r="G9" s="84">
        <v>23</v>
      </c>
      <c r="H9" s="84">
        <f>G9*((100-Discounts!$B$15)/100)</f>
        <v>9.2000000000000011</v>
      </c>
    </row>
    <row r="10" spans="1:14" s="14" customFormat="1" ht="27" customHeight="1" x14ac:dyDescent="0.85">
      <c r="A10" s="16">
        <v>4</v>
      </c>
      <c r="B10" s="16" t="s">
        <v>168</v>
      </c>
      <c r="C10" s="16" t="s">
        <v>168</v>
      </c>
      <c r="D10" s="16">
        <v>1.2</v>
      </c>
      <c r="E10" s="16">
        <v>10</v>
      </c>
      <c r="F10" s="97" t="s">
        <v>40</v>
      </c>
      <c r="G10" s="83">
        <v>30.5</v>
      </c>
      <c r="H10" s="83">
        <f>G10*((100-Discounts!$B$15)/100)</f>
        <v>12.200000000000001</v>
      </c>
    </row>
    <row r="11" spans="1:14" s="14" customFormat="1" ht="27" customHeight="1" x14ac:dyDescent="0.85">
      <c r="A11" s="18">
        <v>4</v>
      </c>
      <c r="B11" s="18" t="s">
        <v>168</v>
      </c>
      <c r="C11" s="18" t="s">
        <v>168</v>
      </c>
      <c r="D11" s="18">
        <v>1.4</v>
      </c>
      <c r="E11" s="18">
        <v>10</v>
      </c>
      <c r="F11" s="98" t="s">
        <v>40</v>
      </c>
      <c r="G11" s="84">
        <v>30.5</v>
      </c>
      <c r="H11" s="84">
        <f>G11*((100-Discounts!$B$15)/100)</f>
        <v>12.200000000000001</v>
      </c>
    </row>
    <row r="12" spans="1:14" s="14" customFormat="1" ht="27" customHeight="1" x14ac:dyDescent="0.85">
      <c r="A12" s="16">
        <v>5</v>
      </c>
      <c r="B12" s="16" t="s">
        <v>168</v>
      </c>
      <c r="C12" s="16" t="s">
        <v>168</v>
      </c>
      <c r="D12" s="16">
        <v>1.2</v>
      </c>
      <c r="E12" s="16">
        <v>10</v>
      </c>
      <c r="F12" s="97" t="s">
        <v>42</v>
      </c>
      <c r="G12" s="83">
        <v>38</v>
      </c>
      <c r="H12" s="83">
        <f>G12*((100-Discounts!$B$15)/100)</f>
        <v>15.200000000000001</v>
      </c>
    </row>
    <row r="13" spans="1:14" s="14" customFormat="1" ht="27" customHeight="1" x14ac:dyDescent="0.85">
      <c r="A13" s="18">
        <v>5</v>
      </c>
      <c r="B13" s="18" t="s">
        <v>168</v>
      </c>
      <c r="C13" s="18" t="s">
        <v>168</v>
      </c>
      <c r="D13" s="18">
        <v>1.4</v>
      </c>
      <c r="E13" s="18">
        <v>10</v>
      </c>
      <c r="F13" s="98" t="s">
        <v>42</v>
      </c>
      <c r="G13" s="84">
        <v>38</v>
      </c>
      <c r="H13" s="84">
        <f>G13*((100-Discounts!$B$15)/100)</f>
        <v>15.200000000000001</v>
      </c>
    </row>
    <row r="14" spans="1:14" s="14" customFormat="1" ht="27" customHeight="1" x14ac:dyDescent="0.85">
      <c r="A14" s="16">
        <v>6</v>
      </c>
      <c r="B14" s="16" t="s">
        <v>168</v>
      </c>
      <c r="C14" s="16" t="s">
        <v>168</v>
      </c>
      <c r="D14" s="16">
        <v>1.2</v>
      </c>
      <c r="E14" s="16">
        <v>10</v>
      </c>
      <c r="F14" s="97" t="s">
        <v>44</v>
      </c>
      <c r="G14" s="83">
        <v>44.5</v>
      </c>
      <c r="H14" s="83">
        <f>G14*((100-Discounts!$B$15)/100)</f>
        <v>17.8</v>
      </c>
    </row>
    <row r="15" spans="1:14" s="14" customFormat="1" ht="27" customHeight="1" x14ac:dyDescent="0.85">
      <c r="A15" s="18">
        <v>6</v>
      </c>
      <c r="B15" s="18" t="s">
        <v>168</v>
      </c>
      <c r="C15" s="18" t="s">
        <v>168</v>
      </c>
      <c r="D15" s="18">
        <v>1.4</v>
      </c>
      <c r="E15" s="18">
        <v>10</v>
      </c>
      <c r="F15" s="98" t="s">
        <v>44</v>
      </c>
      <c r="G15" s="84">
        <v>44.5</v>
      </c>
      <c r="H15" s="84">
        <f>G15*((100-Discounts!$B$15)/100)</f>
        <v>17.8</v>
      </c>
    </row>
    <row r="16" spans="1:14" s="14" customFormat="1" ht="27" customHeight="1" x14ac:dyDescent="0.85">
      <c r="A16" s="16">
        <v>8</v>
      </c>
      <c r="B16" s="16" t="s">
        <v>168</v>
      </c>
      <c r="C16" s="16" t="s">
        <v>168</v>
      </c>
      <c r="D16" s="16">
        <v>1.2</v>
      </c>
      <c r="E16" s="16">
        <v>10</v>
      </c>
      <c r="F16" s="97" t="s">
        <v>45</v>
      </c>
      <c r="G16" s="83">
        <v>58.25</v>
      </c>
      <c r="H16" s="83">
        <f>G16*((100-Discounts!$B$15)/100)</f>
        <v>23.3</v>
      </c>
    </row>
    <row r="17" spans="1:14" s="14" customFormat="1" ht="27" customHeight="1" x14ac:dyDescent="0.85">
      <c r="A17" s="18">
        <v>8</v>
      </c>
      <c r="B17" s="18" t="s">
        <v>168</v>
      </c>
      <c r="C17" s="18" t="s">
        <v>168</v>
      </c>
      <c r="D17" s="18">
        <v>1.4</v>
      </c>
      <c r="E17" s="18">
        <v>10</v>
      </c>
      <c r="F17" s="98" t="s">
        <v>45</v>
      </c>
      <c r="G17" s="84">
        <v>58.25</v>
      </c>
      <c r="H17" s="84">
        <f>G17*((100-Discounts!$B$15)/100)</f>
        <v>23.3</v>
      </c>
    </row>
    <row r="18" spans="1:14" s="14" customFormat="1" ht="27" customHeight="1" x14ac:dyDescent="0.85">
      <c r="A18" s="16">
        <v>8</v>
      </c>
      <c r="B18" s="16" t="s">
        <v>168</v>
      </c>
      <c r="C18" s="16" t="s">
        <v>168</v>
      </c>
      <c r="D18" s="16">
        <v>1.4</v>
      </c>
      <c r="E18" s="16">
        <v>5</v>
      </c>
      <c r="F18" s="97" t="s">
        <v>45</v>
      </c>
      <c r="G18" s="83">
        <v>58.25</v>
      </c>
      <c r="H18" s="83">
        <f>G18*((100-Discounts!$B$15)/100)</f>
        <v>23.3</v>
      </c>
    </row>
    <row r="19" spans="1:14" s="14" customFormat="1" ht="27" customHeight="1" x14ac:dyDescent="0.85">
      <c r="A19" s="18">
        <v>10</v>
      </c>
      <c r="B19" s="18" t="s">
        <v>168</v>
      </c>
      <c r="C19" s="18" t="s">
        <v>168</v>
      </c>
      <c r="D19" s="18">
        <v>1</v>
      </c>
      <c r="E19" s="18">
        <v>5</v>
      </c>
      <c r="F19" s="98" t="s">
        <v>46</v>
      </c>
      <c r="G19" s="84">
        <v>71.25</v>
      </c>
      <c r="H19" s="84">
        <f>G19*((100-Discounts!$B$15)/100)</f>
        <v>28.5</v>
      </c>
    </row>
    <row r="20" spans="1:14" s="14" customFormat="1" ht="27" customHeight="1" x14ac:dyDescent="0.85">
      <c r="A20" s="16">
        <v>10</v>
      </c>
      <c r="B20" s="16" t="s">
        <v>168</v>
      </c>
      <c r="C20" s="16" t="s">
        <v>168</v>
      </c>
      <c r="D20" s="16">
        <v>1.2</v>
      </c>
      <c r="E20" s="16">
        <v>10</v>
      </c>
      <c r="F20" s="97" t="s">
        <v>46</v>
      </c>
      <c r="G20" s="83">
        <v>71.25</v>
      </c>
      <c r="H20" s="83">
        <f>G20*((100-Discounts!$B$15)/100)</f>
        <v>28.5</v>
      </c>
    </row>
    <row r="21" spans="1:14" s="14" customFormat="1" ht="27" customHeight="1" x14ac:dyDescent="0.85">
      <c r="A21" s="18">
        <v>10</v>
      </c>
      <c r="B21" s="18" t="s">
        <v>168</v>
      </c>
      <c r="C21" s="18" t="s">
        <v>168</v>
      </c>
      <c r="D21" s="18">
        <v>1.4</v>
      </c>
      <c r="E21" s="18">
        <v>5</v>
      </c>
      <c r="F21" s="98" t="s">
        <v>46</v>
      </c>
      <c r="G21" s="84">
        <v>71.25</v>
      </c>
      <c r="H21" s="84">
        <f>G21*((100-Discounts!$B$15)/100)</f>
        <v>28.5</v>
      </c>
    </row>
    <row r="22" spans="1:14" s="14" customFormat="1" ht="27" customHeight="1" x14ac:dyDescent="0.85">
      <c r="A22" s="16">
        <v>10</v>
      </c>
      <c r="B22" s="16" t="s">
        <v>168</v>
      </c>
      <c r="C22" s="16" t="s">
        <v>168</v>
      </c>
      <c r="D22" s="16">
        <v>1.4</v>
      </c>
      <c r="E22" s="16">
        <v>10</v>
      </c>
      <c r="F22" s="97" t="s">
        <v>46</v>
      </c>
      <c r="G22" s="83">
        <v>71.25</v>
      </c>
      <c r="H22" s="83">
        <f>G22*((100-Discounts!$B$15)/100)</f>
        <v>28.5</v>
      </c>
    </row>
    <row r="23" spans="1:14" s="14" customFormat="1" ht="27" customHeight="1" x14ac:dyDescent="0.85">
      <c r="A23" s="18">
        <v>10</v>
      </c>
      <c r="B23" s="18" t="s">
        <v>168</v>
      </c>
      <c r="C23" s="18" t="s">
        <v>168</v>
      </c>
      <c r="D23" s="18">
        <v>1.5</v>
      </c>
      <c r="E23" s="18">
        <v>5</v>
      </c>
      <c r="F23" s="98" t="s">
        <v>46</v>
      </c>
      <c r="G23" s="84">
        <v>71.25</v>
      </c>
      <c r="H23" s="84">
        <f>G23*((100-Discounts!$B$15)/100)</f>
        <v>28.5</v>
      </c>
    </row>
    <row r="24" spans="1:14" s="14" customFormat="1" ht="27" customHeight="1" x14ac:dyDescent="0.85">
      <c r="A24" s="16">
        <v>10</v>
      </c>
      <c r="B24" s="16" t="s">
        <v>168</v>
      </c>
      <c r="C24" s="16" t="s">
        <v>168</v>
      </c>
      <c r="D24" s="16">
        <v>1.5</v>
      </c>
      <c r="E24" s="16">
        <v>10</v>
      </c>
      <c r="F24" s="97" t="s">
        <v>46</v>
      </c>
      <c r="G24" s="83">
        <v>71.25</v>
      </c>
      <c r="H24" s="83">
        <f>G24*((100-Discounts!$B$15)/100)</f>
        <v>28.5</v>
      </c>
    </row>
    <row r="25" spans="1:14" s="14" customFormat="1" ht="27" customHeight="1" x14ac:dyDescent="0.85">
      <c r="A25" s="18">
        <v>10</v>
      </c>
      <c r="B25" s="18" t="s">
        <v>168</v>
      </c>
      <c r="C25" s="18" t="s">
        <v>168</v>
      </c>
      <c r="D25" s="18">
        <v>1.8</v>
      </c>
      <c r="E25" s="18">
        <v>5</v>
      </c>
      <c r="F25" s="98" t="s">
        <v>46</v>
      </c>
      <c r="G25" s="84">
        <v>71.25</v>
      </c>
      <c r="H25" s="84">
        <f>G25*((100-Discounts!$B$15)/100)</f>
        <v>28.5</v>
      </c>
    </row>
    <row r="26" spans="1:14" s="14" customFormat="1" ht="27" customHeight="1" x14ac:dyDescent="0.85">
      <c r="A26" s="16">
        <v>12</v>
      </c>
      <c r="B26" s="16" t="s">
        <v>168</v>
      </c>
      <c r="C26" s="16" t="s">
        <v>168</v>
      </c>
      <c r="D26" s="16">
        <v>1.4</v>
      </c>
      <c r="E26" s="16">
        <v>5</v>
      </c>
      <c r="F26" s="97" t="s">
        <v>47</v>
      </c>
      <c r="G26" s="83">
        <v>84</v>
      </c>
      <c r="H26" s="83">
        <f>G26*((100-Discounts!$B$15)/100)</f>
        <v>33.6</v>
      </c>
    </row>
    <row r="27" spans="1:14" s="14" customFormat="1" ht="27" customHeight="1" x14ac:dyDescent="0.85">
      <c r="A27" s="18">
        <v>15</v>
      </c>
      <c r="B27" s="18" t="s">
        <v>168</v>
      </c>
      <c r="C27" s="18" t="s">
        <v>168</v>
      </c>
      <c r="D27" s="18">
        <v>1.4</v>
      </c>
      <c r="E27" s="18">
        <v>5</v>
      </c>
      <c r="F27" s="98" t="s">
        <v>48</v>
      </c>
      <c r="G27" s="84">
        <v>104</v>
      </c>
      <c r="H27" s="84">
        <f>G27*((100-Discounts!$B$15)/100)</f>
        <v>41.6</v>
      </c>
    </row>
    <row r="28" spans="1:14" s="14" customFormat="1" ht="27" customHeight="1" x14ac:dyDescent="0.85">
      <c r="A28" s="16">
        <v>20</v>
      </c>
      <c r="B28" s="16" t="s">
        <v>168</v>
      </c>
      <c r="C28" s="16" t="s">
        <v>168</v>
      </c>
      <c r="D28" s="16">
        <v>1.4</v>
      </c>
      <c r="E28" s="16">
        <v>5</v>
      </c>
      <c r="F28" s="97" t="s">
        <v>49</v>
      </c>
      <c r="G28" s="83">
        <v>137.25</v>
      </c>
      <c r="H28" s="83">
        <f>G28*((100-Discounts!$B$15)/100)</f>
        <v>54.900000000000006</v>
      </c>
    </row>
    <row r="29" spans="1:14" s="14" customFormat="1" ht="27" customHeight="1" thickBot="1" x14ac:dyDescent="0.9">
      <c r="A29" s="18">
        <v>25</v>
      </c>
      <c r="B29" s="18" t="s">
        <v>168</v>
      </c>
      <c r="C29" s="18" t="s">
        <v>168</v>
      </c>
      <c r="D29" s="18">
        <v>1.4</v>
      </c>
      <c r="E29" s="18">
        <v>5</v>
      </c>
      <c r="F29" s="98" t="s">
        <v>317</v>
      </c>
      <c r="G29" s="84">
        <v>171.75</v>
      </c>
      <c r="H29" s="84">
        <f>G29*((100-Discounts!$B$15)/100)</f>
        <v>68.7</v>
      </c>
    </row>
    <row r="30" spans="1:14" s="11" customFormat="1" ht="40.5" customHeight="1" thickTop="1" thickBot="1" x14ac:dyDescent="0.9">
      <c r="A30" s="45" t="s">
        <v>372</v>
      </c>
      <c r="B30" s="46"/>
      <c r="C30" s="46"/>
      <c r="D30" s="46"/>
      <c r="E30" s="46"/>
      <c r="F30" s="128"/>
      <c r="G30" s="114"/>
      <c r="H30" s="47" t="s">
        <v>323</v>
      </c>
      <c r="J30" s="13"/>
      <c r="N30" s="12"/>
    </row>
    <row r="31" spans="1:14" s="24" customFormat="1" ht="54" customHeight="1" thickTop="1" thickBot="1" x14ac:dyDescent="0.9">
      <c r="A31" s="48" t="s">
        <v>320</v>
      </c>
      <c r="B31" s="49" t="s">
        <v>171</v>
      </c>
      <c r="C31" s="49" t="s">
        <v>325</v>
      </c>
      <c r="D31" s="49" t="s">
        <v>321</v>
      </c>
      <c r="E31" s="49" t="s">
        <v>311</v>
      </c>
      <c r="F31" s="129" t="s">
        <v>322</v>
      </c>
      <c r="G31" s="115" t="s">
        <v>179</v>
      </c>
      <c r="H31" s="49" t="s">
        <v>199</v>
      </c>
    </row>
    <row r="32" spans="1:14" s="14" customFormat="1" ht="27" customHeight="1" thickTop="1" x14ac:dyDescent="0.85">
      <c r="A32" s="16">
        <v>1.5</v>
      </c>
      <c r="B32" s="16">
        <v>1</v>
      </c>
      <c r="C32" s="16" t="s">
        <v>178</v>
      </c>
      <c r="D32" s="16">
        <v>1.4</v>
      </c>
      <c r="E32" s="16">
        <v>10</v>
      </c>
      <c r="F32" s="19" t="s">
        <v>183</v>
      </c>
      <c r="G32" s="83">
        <v>19.25</v>
      </c>
      <c r="H32" s="83">
        <f>G32*((100-Discounts!$B$15)/100)</f>
        <v>7.7</v>
      </c>
    </row>
    <row r="33" spans="1:8" s="14" customFormat="1" ht="27" customHeight="1" x14ac:dyDescent="0.85">
      <c r="A33" s="18">
        <v>1.5</v>
      </c>
      <c r="B33" s="18">
        <v>1</v>
      </c>
      <c r="C33" s="18" t="s">
        <v>178</v>
      </c>
      <c r="D33" s="18">
        <v>1.4</v>
      </c>
      <c r="E33" s="18">
        <v>15</v>
      </c>
      <c r="F33" s="20" t="s">
        <v>183</v>
      </c>
      <c r="G33" s="84">
        <v>19.25</v>
      </c>
      <c r="H33" s="84">
        <f>G33*((100-Discounts!$B$15)/100)</f>
        <v>7.7</v>
      </c>
    </row>
    <row r="34" spans="1:8" s="14" customFormat="1" ht="27" customHeight="1" x14ac:dyDescent="0.85">
      <c r="A34" s="16">
        <v>2</v>
      </c>
      <c r="B34" s="16">
        <v>1</v>
      </c>
      <c r="C34" s="16" t="s">
        <v>178</v>
      </c>
      <c r="D34" s="16">
        <v>1.2</v>
      </c>
      <c r="E34" s="16">
        <v>10</v>
      </c>
      <c r="F34" s="19" t="s">
        <v>37</v>
      </c>
      <c r="G34" s="83">
        <v>22.25</v>
      </c>
      <c r="H34" s="83">
        <f>G34*((100-Discounts!$B$15)/100)</f>
        <v>8.9</v>
      </c>
    </row>
    <row r="35" spans="1:8" s="14" customFormat="1" ht="27" customHeight="1" x14ac:dyDescent="0.85">
      <c r="A35" s="18">
        <v>2</v>
      </c>
      <c r="B35" s="18">
        <v>1</v>
      </c>
      <c r="C35" s="18" t="s">
        <v>178</v>
      </c>
      <c r="D35" s="18">
        <v>1.4</v>
      </c>
      <c r="E35" s="18">
        <v>10</v>
      </c>
      <c r="F35" s="20" t="s">
        <v>37</v>
      </c>
      <c r="G35" s="84">
        <v>22.25</v>
      </c>
      <c r="H35" s="84">
        <f>G35*((100-Discounts!$B$15)/100)</f>
        <v>8.9</v>
      </c>
    </row>
    <row r="36" spans="1:8" s="14" customFormat="1" ht="27" customHeight="1" x14ac:dyDescent="0.85">
      <c r="A36" s="16">
        <v>3</v>
      </c>
      <c r="B36" s="16">
        <v>1</v>
      </c>
      <c r="C36" s="16" t="s">
        <v>178</v>
      </c>
      <c r="D36" s="16">
        <v>1.2</v>
      </c>
      <c r="E36" s="16">
        <v>10</v>
      </c>
      <c r="F36" s="19" t="s">
        <v>39</v>
      </c>
      <c r="G36" s="83">
        <v>29</v>
      </c>
      <c r="H36" s="83">
        <f>G36*((100-Discounts!$B$15)/100)</f>
        <v>11.600000000000001</v>
      </c>
    </row>
    <row r="37" spans="1:8" s="14" customFormat="1" ht="27" customHeight="1" x14ac:dyDescent="0.85">
      <c r="A37" s="18">
        <v>3</v>
      </c>
      <c r="B37" s="18">
        <v>1</v>
      </c>
      <c r="C37" s="18" t="s">
        <v>178</v>
      </c>
      <c r="D37" s="18">
        <v>1.4</v>
      </c>
      <c r="E37" s="18">
        <v>10</v>
      </c>
      <c r="F37" s="20" t="s">
        <v>39</v>
      </c>
      <c r="G37" s="84">
        <v>29</v>
      </c>
      <c r="H37" s="84">
        <f>G37*((100-Discounts!$B$15)/100)</f>
        <v>11.600000000000001</v>
      </c>
    </row>
    <row r="38" spans="1:8" s="14" customFormat="1" ht="27" customHeight="1" x14ac:dyDescent="0.85">
      <c r="A38" s="16">
        <v>3</v>
      </c>
      <c r="B38" s="16">
        <v>2</v>
      </c>
      <c r="C38" s="16" t="s">
        <v>178</v>
      </c>
      <c r="D38" s="16">
        <v>1.2</v>
      </c>
      <c r="E38" s="16">
        <v>10</v>
      </c>
      <c r="F38" s="19" t="s">
        <v>721</v>
      </c>
      <c r="G38" s="83">
        <v>35</v>
      </c>
      <c r="H38" s="83">
        <f>G38*((100-Discounts!$B$15)/100)</f>
        <v>14</v>
      </c>
    </row>
    <row r="39" spans="1:8" s="14" customFormat="1" ht="27" customHeight="1" x14ac:dyDescent="0.85">
      <c r="A39" s="18">
        <v>3</v>
      </c>
      <c r="B39" s="18">
        <v>2</v>
      </c>
      <c r="C39" s="18" t="s">
        <v>178</v>
      </c>
      <c r="D39" s="18">
        <v>1.4</v>
      </c>
      <c r="E39" s="18">
        <v>10</v>
      </c>
      <c r="F39" s="20" t="s">
        <v>721</v>
      </c>
      <c r="G39" s="84">
        <v>35</v>
      </c>
      <c r="H39" s="84">
        <f>G39*((100-Discounts!$B$15)/100)</f>
        <v>14</v>
      </c>
    </row>
    <row r="40" spans="1:8" s="14" customFormat="1" ht="27" customHeight="1" x14ac:dyDescent="0.85">
      <c r="A40" s="16">
        <v>4</v>
      </c>
      <c r="B40" s="16">
        <v>1</v>
      </c>
      <c r="C40" s="16" t="s">
        <v>178</v>
      </c>
      <c r="D40" s="16">
        <v>1.2</v>
      </c>
      <c r="E40" s="16">
        <v>10</v>
      </c>
      <c r="F40" s="19" t="s">
        <v>41</v>
      </c>
      <c r="G40" s="83">
        <v>36.5</v>
      </c>
      <c r="H40" s="83">
        <f>G40*((100-Discounts!$B$15)/100)</f>
        <v>14.600000000000001</v>
      </c>
    </row>
    <row r="41" spans="1:8" s="14" customFormat="1" ht="27" customHeight="1" x14ac:dyDescent="0.85">
      <c r="A41" s="18">
        <v>4</v>
      </c>
      <c r="B41" s="18">
        <v>1</v>
      </c>
      <c r="C41" s="18" t="s">
        <v>178</v>
      </c>
      <c r="D41" s="18">
        <v>1.4</v>
      </c>
      <c r="E41" s="18">
        <v>10</v>
      </c>
      <c r="F41" s="20" t="s">
        <v>41</v>
      </c>
      <c r="G41" s="84">
        <v>36.5</v>
      </c>
      <c r="H41" s="84">
        <f>G41*((100-Discounts!$B$15)/100)</f>
        <v>14.600000000000001</v>
      </c>
    </row>
    <row r="42" spans="1:8" s="14" customFormat="1" ht="27" customHeight="1" x14ac:dyDescent="0.85">
      <c r="A42" s="16">
        <v>4</v>
      </c>
      <c r="B42" s="16">
        <v>2</v>
      </c>
      <c r="C42" s="16" t="s">
        <v>178</v>
      </c>
      <c r="D42" s="16">
        <v>1.2</v>
      </c>
      <c r="E42" s="16">
        <v>10</v>
      </c>
      <c r="F42" s="19" t="s">
        <v>720</v>
      </c>
      <c r="G42" s="83">
        <v>42.5</v>
      </c>
      <c r="H42" s="83">
        <f>G42*((100-Discounts!$B$15)/100)</f>
        <v>17</v>
      </c>
    </row>
    <row r="43" spans="1:8" s="14" customFormat="1" ht="27" customHeight="1" x14ac:dyDescent="0.85">
      <c r="A43" s="18">
        <v>4</v>
      </c>
      <c r="B43" s="18">
        <v>2</v>
      </c>
      <c r="C43" s="18" t="s">
        <v>178</v>
      </c>
      <c r="D43" s="18">
        <v>1.4</v>
      </c>
      <c r="E43" s="18">
        <v>10</v>
      </c>
      <c r="F43" s="20" t="s">
        <v>720</v>
      </c>
      <c r="G43" s="84">
        <v>42.5</v>
      </c>
      <c r="H43" s="84">
        <f>G43*((100-Discounts!$B$15)/100)</f>
        <v>17</v>
      </c>
    </row>
    <row r="44" spans="1:8" s="14" customFormat="1" ht="27" customHeight="1" x14ac:dyDescent="0.85">
      <c r="A44" s="16">
        <v>5</v>
      </c>
      <c r="B44" s="16">
        <v>1</v>
      </c>
      <c r="C44" s="16" t="s">
        <v>178</v>
      </c>
      <c r="D44" s="16">
        <v>1.2</v>
      </c>
      <c r="E44" s="16">
        <v>10</v>
      </c>
      <c r="F44" s="19" t="s">
        <v>43</v>
      </c>
      <c r="G44" s="83">
        <v>44</v>
      </c>
      <c r="H44" s="83">
        <f>G44*((100-Discounts!$B$15)/100)</f>
        <v>17.600000000000001</v>
      </c>
    </row>
    <row r="45" spans="1:8" s="14" customFormat="1" ht="27" customHeight="1" x14ac:dyDescent="0.85">
      <c r="A45" s="18">
        <v>5</v>
      </c>
      <c r="B45" s="18">
        <v>1</v>
      </c>
      <c r="C45" s="18" t="s">
        <v>178</v>
      </c>
      <c r="D45" s="18">
        <v>1.4</v>
      </c>
      <c r="E45" s="18">
        <v>10</v>
      </c>
      <c r="F45" s="20" t="s">
        <v>43</v>
      </c>
      <c r="G45" s="84">
        <v>44</v>
      </c>
      <c r="H45" s="84">
        <f>G45*((100-Discounts!$B$15)/100)</f>
        <v>17.600000000000001</v>
      </c>
    </row>
    <row r="46" spans="1:8" s="14" customFormat="1" ht="27" customHeight="1" x14ac:dyDescent="0.85">
      <c r="A46" s="16">
        <v>5</v>
      </c>
      <c r="B46" s="16">
        <v>2</v>
      </c>
      <c r="C46" s="16" t="s">
        <v>178</v>
      </c>
      <c r="D46" s="16">
        <v>1.4</v>
      </c>
      <c r="E46" s="16">
        <v>10</v>
      </c>
      <c r="F46" s="19" t="s">
        <v>719</v>
      </c>
      <c r="G46" s="83">
        <v>50</v>
      </c>
      <c r="H46" s="83">
        <f>G46*((100-Discounts!$B$15)/100)</f>
        <v>20</v>
      </c>
    </row>
    <row r="47" spans="1:8" s="14" customFormat="1" ht="27" customHeight="1" x14ac:dyDescent="0.85">
      <c r="A47" s="18">
        <v>6</v>
      </c>
      <c r="B47" s="18">
        <v>2</v>
      </c>
      <c r="C47" s="18" t="s">
        <v>178</v>
      </c>
      <c r="D47" s="18">
        <v>1.4</v>
      </c>
      <c r="E47" s="18">
        <v>10</v>
      </c>
      <c r="F47" s="20" t="s">
        <v>718</v>
      </c>
      <c r="G47" s="84">
        <v>56.5</v>
      </c>
      <c r="H47" s="84">
        <f>G47*((100-Discounts!$B$15)/100)</f>
        <v>22.6</v>
      </c>
    </row>
    <row r="48" spans="1:8" s="14" customFormat="1" ht="27" customHeight="1" x14ac:dyDescent="0.85">
      <c r="A48" s="16">
        <v>8</v>
      </c>
      <c r="B48" s="16">
        <v>2</v>
      </c>
      <c r="C48" s="16" t="s">
        <v>178</v>
      </c>
      <c r="D48" s="16">
        <v>1.4</v>
      </c>
      <c r="E48" s="16">
        <v>5</v>
      </c>
      <c r="F48" s="19" t="s">
        <v>717</v>
      </c>
      <c r="G48" s="83">
        <v>70.25</v>
      </c>
      <c r="H48" s="83">
        <f>G48*((100-Discounts!$B$15)/100)</f>
        <v>28.1</v>
      </c>
    </row>
    <row r="49" spans="1:11" s="14" customFormat="1" ht="27" customHeight="1" x14ac:dyDescent="0.85">
      <c r="A49" s="18">
        <v>10</v>
      </c>
      <c r="B49" s="18">
        <v>2</v>
      </c>
      <c r="C49" s="18" t="s">
        <v>178</v>
      </c>
      <c r="D49" s="18">
        <v>1.2</v>
      </c>
      <c r="E49" s="18">
        <v>10</v>
      </c>
      <c r="F49" s="20" t="s">
        <v>716</v>
      </c>
      <c r="G49" s="84">
        <v>83.25</v>
      </c>
      <c r="H49" s="84">
        <f>G49*((100-Discounts!$B$15)/100)</f>
        <v>33.300000000000004</v>
      </c>
    </row>
    <row r="50" spans="1:11" s="14" customFormat="1" ht="27" customHeight="1" x14ac:dyDescent="0.85">
      <c r="A50" s="16">
        <v>10</v>
      </c>
      <c r="B50" s="16">
        <v>2</v>
      </c>
      <c r="C50" s="16" t="s">
        <v>178</v>
      </c>
      <c r="D50" s="16">
        <v>1.4</v>
      </c>
      <c r="E50" s="16">
        <v>5</v>
      </c>
      <c r="F50" s="19" t="s">
        <v>716</v>
      </c>
      <c r="G50" s="83">
        <v>83.25</v>
      </c>
      <c r="H50" s="83">
        <f>G50*((100-Discounts!$B$15)/100)</f>
        <v>33.300000000000004</v>
      </c>
    </row>
    <row r="51" spans="1:11" s="14" customFormat="1" ht="27" customHeight="1" thickBot="1" x14ac:dyDescent="0.9">
      <c r="A51" s="18">
        <v>10</v>
      </c>
      <c r="B51" s="18">
        <v>2</v>
      </c>
      <c r="C51" s="18" t="s">
        <v>178</v>
      </c>
      <c r="D51" s="18">
        <v>1.4</v>
      </c>
      <c r="E51" s="18">
        <v>10</v>
      </c>
      <c r="F51" s="20" t="s">
        <v>716</v>
      </c>
      <c r="G51" s="84">
        <v>83.25</v>
      </c>
      <c r="H51" s="84">
        <f>G51*((100-Discounts!$B$15)/100)</f>
        <v>33.300000000000004</v>
      </c>
    </row>
    <row r="52" spans="1:11" s="11" customFormat="1" ht="40.5" customHeight="1" thickTop="1" thickBot="1" x14ac:dyDescent="0.9">
      <c r="A52" s="45" t="s">
        <v>371</v>
      </c>
      <c r="B52" s="46"/>
      <c r="C52" s="46"/>
      <c r="D52" s="46"/>
      <c r="E52" s="46"/>
      <c r="F52" s="128"/>
      <c r="G52" s="114"/>
      <c r="H52" s="47" t="s">
        <v>323</v>
      </c>
      <c r="K52" s="12"/>
    </row>
    <row r="53" spans="1:11" s="24" customFormat="1" ht="54" customHeight="1" thickTop="1" thickBot="1" x14ac:dyDescent="0.9">
      <c r="A53" s="48" t="s">
        <v>320</v>
      </c>
      <c r="B53" s="49" t="s">
        <v>171</v>
      </c>
      <c r="C53" s="49" t="s">
        <v>325</v>
      </c>
      <c r="D53" s="49" t="s">
        <v>321</v>
      </c>
      <c r="E53" s="49" t="s">
        <v>311</v>
      </c>
      <c r="F53" s="129" t="s">
        <v>322</v>
      </c>
      <c r="G53" s="115" t="s">
        <v>179</v>
      </c>
      <c r="H53" s="49" t="s">
        <v>199</v>
      </c>
    </row>
    <row r="54" spans="1:11" s="14" customFormat="1" ht="27" customHeight="1" thickTop="1" x14ac:dyDescent="0.85">
      <c r="A54" s="16">
        <v>10</v>
      </c>
      <c r="B54" s="16" t="s">
        <v>168</v>
      </c>
      <c r="C54" s="16" t="s">
        <v>168</v>
      </c>
      <c r="D54" s="16">
        <v>1</v>
      </c>
      <c r="E54" s="16">
        <v>1</v>
      </c>
      <c r="F54" s="93" t="s">
        <v>374</v>
      </c>
      <c r="G54" s="80">
        <v>75</v>
      </c>
      <c r="H54" s="80">
        <f>G54*((100-Discounts!$B$15)/100)</f>
        <v>30</v>
      </c>
    </row>
    <row r="55" spans="1:11" s="14" customFormat="1" ht="27" customHeight="1" x14ac:dyDescent="0.85">
      <c r="A55" s="18">
        <v>15</v>
      </c>
      <c r="B55" s="18" t="s">
        <v>168</v>
      </c>
      <c r="C55" s="18" t="s">
        <v>168</v>
      </c>
      <c r="D55" s="18">
        <v>1</v>
      </c>
      <c r="E55" s="18">
        <v>1</v>
      </c>
      <c r="F55" s="94" t="s">
        <v>375</v>
      </c>
      <c r="G55" s="81">
        <v>110.25</v>
      </c>
      <c r="H55" s="81">
        <f>G55*((100-Discounts!$B$15)/100)</f>
        <v>44.1</v>
      </c>
    </row>
    <row r="56" spans="1:11" s="14" customFormat="1" ht="27" customHeight="1" x14ac:dyDescent="0.85">
      <c r="A56" s="16">
        <v>20</v>
      </c>
      <c r="B56" s="16" t="s">
        <v>168</v>
      </c>
      <c r="C56" s="16" t="s">
        <v>168</v>
      </c>
      <c r="D56" s="16">
        <v>1</v>
      </c>
      <c r="E56" s="16">
        <v>1</v>
      </c>
      <c r="F56" s="93" t="s">
        <v>376</v>
      </c>
      <c r="G56" s="80">
        <v>144</v>
      </c>
      <c r="H56" s="80">
        <f>G56*((100-Discounts!$B$15)/100)</f>
        <v>57.6</v>
      </c>
    </row>
    <row r="57" spans="1:11" s="14" customFormat="1" ht="27" customHeight="1" x14ac:dyDescent="0.85">
      <c r="A57" s="18">
        <v>20</v>
      </c>
      <c r="B57" s="18" t="s">
        <v>168</v>
      </c>
      <c r="C57" s="18" t="s">
        <v>168</v>
      </c>
      <c r="D57" s="18">
        <v>1.4</v>
      </c>
      <c r="E57" s="18">
        <v>2</v>
      </c>
      <c r="F57" s="94" t="s">
        <v>49</v>
      </c>
      <c r="G57" s="81">
        <v>137.25</v>
      </c>
      <c r="H57" s="81">
        <f>G57*((100-Discounts!$B$15)/100)</f>
        <v>54.900000000000006</v>
      </c>
    </row>
    <row r="58" spans="1:11" s="14" customFormat="1" ht="27" customHeight="1" x14ac:dyDescent="0.85">
      <c r="A58" s="16">
        <v>20</v>
      </c>
      <c r="B58" s="16" t="s">
        <v>168</v>
      </c>
      <c r="C58" s="16" t="s">
        <v>168</v>
      </c>
      <c r="D58" s="16">
        <v>1.5</v>
      </c>
      <c r="E58" s="16">
        <v>1</v>
      </c>
      <c r="F58" s="93" t="s">
        <v>377</v>
      </c>
      <c r="G58" s="80">
        <v>216.25</v>
      </c>
      <c r="H58" s="80">
        <f>G58*((100-Discounts!$B$15)/100)</f>
        <v>86.5</v>
      </c>
    </row>
    <row r="59" spans="1:11" s="14" customFormat="1" ht="27" customHeight="1" x14ac:dyDescent="0.85">
      <c r="A59" s="18">
        <v>25</v>
      </c>
      <c r="B59" s="18" t="s">
        <v>168</v>
      </c>
      <c r="C59" s="18" t="s">
        <v>168</v>
      </c>
      <c r="D59" s="18">
        <v>1</v>
      </c>
      <c r="E59" s="18">
        <v>1</v>
      </c>
      <c r="F59" s="94" t="s">
        <v>378</v>
      </c>
      <c r="G59" s="81">
        <v>182</v>
      </c>
      <c r="H59" s="81">
        <f>G59*((100-Discounts!$B$15)/100)</f>
        <v>72.8</v>
      </c>
    </row>
    <row r="60" spans="1:11" s="14" customFormat="1" ht="27" customHeight="1" x14ac:dyDescent="0.85">
      <c r="A60" s="16">
        <v>25</v>
      </c>
      <c r="B60" s="16" t="s">
        <v>168</v>
      </c>
      <c r="C60" s="16" t="s">
        <v>168</v>
      </c>
      <c r="D60" s="16">
        <v>1.5</v>
      </c>
      <c r="E60" s="16">
        <v>1</v>
      </c>
      <c r="F60" s="93" t="s">
        <v>379</v>
      </c>
      <c r="G60" s="80">
        <v>273</v>
      </c>
      <c r="H60" s="80">
        <f>G60*((100-Discounts!$B$15)/100)</f>
        <v>109.2</v>
      </c>
    </row>
    <row r="61" spans="1:11" s="14" customFormat="1" ht="27" customHeight="1" x14ac:dyDescent="0.85">
      <c r="A61" s="18">
        <v>30</v>
      </c>
      <c r="B61" s="18" t="s">
        <v>168</v>
      </c>
      <c r="C61" s="18" t="s">
        <v>168</v>
      </c>
      <c r="D61" s="18">
        <v>1.4</v>
      </c>
      <c r="E61" s="18">
        <v>2</v>
      </c>
      <c r="F61" s="94" t="s">
        <v>187</v>
      </c>
      <c r="G61" s="81">
        <v>212.25</v>
      </c>
      <c r="H61" s="81">
        <f>G61*((100-Discounts!$B$15)/100)</f>
        <v>84.9</v>
      </c>
    </row>
    <row r="62" spans="1:11" s="14" customFormat="1" ht="27" customHeight="1" x14ac:dyDescent="0.85">
      <c r="A62" s="16">
        <v>30</v>
      </c>
      <c r="B62" s="16" t="s">
        <v>168</v>
      </c>
      <c r="C62" s="16" t="s">
        <v>168</v>
      </c>
      <c r="D62" s="16">
        <v>1.5</v>
      </c>
      <c r="E62" s="16">
        <v>1</v>
      </c>
      <c r="F62" s="93" t="s">
        <v>380</v>
      </c>
      <c r="G62" s="80">
        <v>334.5</v>
      </c>
      <c r="H62" s="80">
        <f>G62*((100-Discounts!$B$15)/100)</f>
        <v>133.80000000000001</v>
      </c>
    </row>
    <row r="63" spans="1:11" s="14" customFormat="1" ht="27" customHeight="1" x14ac:dyDescent="0.85">
      <c r="A63" s="18">
        <v>40</v>
      </c>
      <c r="B63" s="18" t="s">
        <v>168</v>
      </c>
      <c r="C63" s="18" t="s">
        <v>168</v>
      </c>
      <c r="D63" s="18">
        <v>1.4</v>
      </c>
      <c r="E63" s="18">
        <v>2</v>
      </c>
      <c r="F63" s="94" t="s">
        <v>188</v>
      </c>
      <c r="G63" s="81">
        <v>282.75</v>
      </c>
      <c r="H63" s="81">
        <f>G63*((100-Discounts!$B$15)/100)</f>
        <v>113.10000000000001</v>
      </c>
    </row>
    <row r="64" spans="1:11" s="14" customFormat="1" ht="27" customHeight="1" thickBot="1" x14ac:dyDescent="0.9">
      <c r="A64" s="16">
        <v>50</v>
      </c>
      <c r="B64" s="16" t="s">
        <v>168</v>
      </c>
      <c r="C64" s="16" t="s">
        <v>168</v>
      </c>
      <c r="D64" s="16">
        <v>1.4</v>
      </c>
      <c r="E64" s="16">
        <v>2</v>
      </c>
      <c r="F64" s="93" t="s">
        <v>189</v>
      </c>
      <c r="G64" s="80">
        <v>354</v>
      </c>
      <c r="H64" s="80">
        <f>G64*((100-Discounts!$B$15)/100)</f>
        <v>141.6</v>
      </c>
    </row>
    <row r="65" spans="1:11" s="11" customFormat="1" ht="40.5" customHeight="1" thickTop="1" thickBot="1" x14ac:dyDescent="0.9">
      <c r="A65" s="45" t="s">
        <v>212</v>
      </c>
      <c r="B65" s="46"/>
      <c r="C65" s="46"/>
      <c r="D65" s="46"/>
      <c r="E65" s="46"/>
      <c r="F65" s="128"/>
      <c r="G65" s="114"/>
      <c r="H65" s="47" t="s">
        <v>323</v>
      </c>
      <c r="K65" s="12"/>
    </row>
    <row r="66" spans="1:11" s="24" customFormat="1" ht="54" customHeight="1" thickTop="1" thickBot="1" x14ac:dyDescent="0.9">
      <c r="A66" s="48" t="s">
        <v>320</v>
      </c>
      <c r="B66" s="49" t="s">
        <v>171</v>
      </c>
      <c r="C66" s="49" t="s">
        <v>325</v>
      </c>
      <c r="D66" s="49" t="s">
        <v>321</v>
      </c>
      <c r="E66" s="49" t="s">
        <v>311</v>
      </c>
      <c r="F66" s="129" t="s">
        <v>322</v>
      </c>
      <c r="G66" s="115" t="s">
        <v>179</v>
      </c>
      <c r="H66" s="49" t="s">
        <v>199</v>
      </c>
    </row>
    <row r="67" spans="1:11" ht="27" customHeight="1" thickTop="1" x14ac:dyDescent="0.85">
      <c r="A67" s="16">
        <v>1</v>
      </c>
      <c r="B67" s="16" t="s">
        <v>168</v>
      </c>
      <c r="C67" s="16" t="s">
        <v>168</v>
      </c>
      <c r="D67" s="16">
        <v>1.4</v>
      </c>
      <c r="E67" s="16">
        <v>20</v>
      </c>
      <c r="F67" s="103" t="s">
        <v>381</v>
      </c>
      <c r="G67" s="108">
        <v>13.25</v>
      </c>
      <c r="H67" s="108">
        <f>G67*((100-Discounts!$B$16)/100)</f>
        <v>5.3000000000000007</v>
      </c>
    </row>
    <row r="68" spans="1:11" ht="27" customHeight="1" x14ac:dyDescent="0.85">
      <c r="A68" s="18">
        <v>1.5</v>
      </c>
      <c r="B68" s="18" t="s">
        <v>168</v>
      </c>
      <c r="C68" s="18" t="s">
        <v>168</v>
      </c>
      <c r="D68" s="18">
        <v>1.4</v>
      </c>
      <c r="E68" s="18">
        <v>15</v>
      </c>
      <c r="F68" s="98" t="s">
        <v>382</v>
      </c>
      <c r="G68" s="84">
        <v>18.5</v>
      </c>
      <c r="H68" s="84">
        <f>G68*((100-Discounts!$B$16)/100)</f>
        <v>7.4</v>
      </c>
    </row>
    <row r="69" spans="1:11" ht="27" customHeight="1" x14ac:dyDescent="0.85">
      <c r="A69" s="16">
        <v>2</v>
      </c>
      <c r="B69" s="16" t="s">
        <v>168</v>
      </c>
      <c r="C69" s="16" t="s">
        <v>168</v>
      </c>
      <c r="D69" s="16">
        <v>1.4</v>
      </c>
      <c r="E69" s="16">
        <v>10</v>
      </c>
      <c r="F69" s="97" t="s">
        <v>383</v>
      </c>
      <c r="G69" s="83">
        <v>23.5</v>
      </c>
      <c r="H69" s="83">
        <f>G69*((100-Discounts!$B$16)/100)</f>
        <v>9.4</v>
      </c>
    </row>
    <row r="70" spans="1:11" ht="27" customHeight="1" x14ac:dyDescent="0.85">
      <c r="A70" s="18">
        <v>3</v>
      </c>
      <c r="B70" s="18" t="s">
        <v>168</v>
      </c>
      <c r="C70" s="18" t="s">
        <v>168</v>
      </c>
      <c r="D70" s="18">
        <v>1.4</v>
      </c>
      <c r="E70" s="18">
        <v>10</v>
      </c>
      <c r="F70" s="98" t="s">
        <v>384</v>
      </c>
      <c r="G70" s="84">
        <v>33.25</v>
      </c>
      <c r="H70" s="84">
        <f>G70*((100-Discounts!$B$16)/100)</f>
        <v>13.3</v>
      </c>
    </row>
    <row r="71" spans="1:11" ht="27" customHeight="1" x14ac:dyDescent="0.85">
      <c r="A71" s="16">
        <v>4</v>
      </c>
      <c r="B71" s="16" t="s">
        <v>168</v>
      </c>
      <c r="C71" s="16" t="s">
        <v>168</v>
      </c>
      <c r="D71" s="16">
        <v>1.4</v>
      </c>
      <c r="E71" s="16">
        <v>10</v>
      </c>
      <c r="F71" s="97" t="s">
        <v>385</v>
      </c>
      <c r="G71" s="83">
        <v>44.25</v>
      </c>
      <c r="H71" s="83">
        <f>G71*((100-Discounts!$B$16)/100)</f>
        <v>17.7</v>
      </c>
    </row>
    <row r="72" spans="1:11" ht="27" customHeight="1" x14ac:dyDescent="0.85">
      <c r="A72" s="18">
        <v>5</v>
      </c>
      <c r="B72" s="18" t="s">
        <v>168</v>
      </c>
      <c r="C72" s="18" t="s">
        <v>168</v>
      </c>
      <c r="D72" s="18">
        <v>1.4</v>
      </c>
      <c r="E72" s="18">
        <v>10</v>
      </c>
      <c r="F72" s="98" t="s">
        <v>386</v>
      </c>
      <c r="G72" s="84">
        <v>54.5</v>
      </c>
      <c r="H72" s="84">
        <f>G72*((100-Discounts!$B$16)/100)</f>
        <v>21.8</v>
      </c>
    </row>
    <row r="73" spans="1:11" ht="27" customHeight="1" x14ac:dyDescent="0.85">
      <c r="A73" s="16">
        <v>6</v>
      </c>
      <c r="B73" s="16" t="s">
        <v>168</v>
      </c>
      <c r="C73" s="16" t="s">
        <v>168</v>
      </c>
      <c r="D73" s="16">
        <v>1.4</v>
      </c>
      <c r="E73" s="16">
        <v>10</v>
      </c>
      <c r="F73" s="97" t="s">
        <v>387</v>
      </c>
      <c r="G73" s="83">
        <v>64.5</v>
      </c>
      <c r="H73" s="83">
        <f>G73*((100-Discounts!$B$16)/100)</f>
        <v>25.8</v>
      </c>
    </row>
    <row r="74" spans="1:11" ht="27" customHeight="1" x14ac:dyDescent="0.85">
      <c r="A74" s="18">
        <v>8</v>
      </c>
      <c r="B74" s="18" t="s">
        <v>168</v>
      </c>
      <c r="C74" s="18" t="s">
        <v>168</v>
      </c>
      <c r="D74" s="18">
        <v>1.4</v>
      </c>
      <c r="E74" s="18">
        <v>5</v>
      </c>
      <c r="F74" s="98" t="s">
        <v>388</v>
      </c>
      <c r="G74" s="84">
        <v>85</v>
      </c>
      <c r="H74" s="84">
        <f>G74*((100-Discounts!$B$16)/100)</f>
        <v>34</v>
      </c>
    </row>
    <row r="75" spans="1:11" ht="27" customHeight="1" x14ac:dyDescent="0.85">
      <c r="A75" s="16">
        <v>8</v>
      </c>
      <c r="B75" s="16" t="s">
        <v>168</v>
      </c>
      <c r="C75" s="16" t="s">
        <v>168</v>
      </c>
      <c r="D75" s="16">
        <v>1.4</v>
      </c>
      <c r="E75" s="16">
        <v>10</v>
      </c>
      <c r="F75" s="97" t="s">
        <v>388</v>
      </c>
      <c r="G75" s="83">
        <v>85</v>
      </c>
      <c r="H75" s="83">
        <f>G75*((100-Discounts!$B$16)/100)</f>
        <v>34</v>
      </c>
    </row>
    <row r="76" spans="1:11" ht="27" customHeight="1" x14ac:dyDescent="0.85">
      <c r="A76" s="18">
        <v>10</v>
      </c>
      <c r="B76" s="18" t="s">
        <v>168</v>
      </c>
      <c r="C76" s="18" t="s">
        <v>168</v>
      </c>
      <c r="D76" s="18">
        <v>1.4</v>
      </c>
      <c r="E76" s="18">
        <v>5</v>
      </c>
      <c r="F76" s="98" t="s">
        <v>389</v>
      </c>
      <c r="G76" s="84">
        <v>105</v>
      </c>
      <c r="H76" s="84">
        <f>G76*((100-Discounts!$B$16)/100)</f>
        <v>42</v>
      </c>
    </row>
    <row r="77" spans="1:11" ht="27" customHeight="1" thickBot="1" x14ac:dyDescent="0.9">
      <c r="A77" s="16">
        <v>10</v>
      </c>
      <c r="B77" s="16" t="s">
        <v>168</v>
      </c>
      <c r="C77" s="16" t="s">
        <v>168</v>
      </c>
      <c r="D77" s="16">
        <v>1.4</v>
      </c>
      <c r="E77" s="16">
        <v>10</v>
      </c>
      <c r="F77" s="19" t="s">
        <v>389</v>
      </c>
      <c r="G77" s="80">
        <v>105</v>
      </c>
      <c r="H77" s="80">
        <f>G77*((100-Discounts!$B$16)/100)</f>
        <v>42</v>
      </c>
    </row>
    <row r="78" spans="1:11" s="11" customFormat="1" ht="40.5" customHeight="1" thickTop="1" thickBot="1" x14ac:dyDescent="0.9">
      <c r="A78" s="45" t="s">
        <v>213</v>
      </c>
      <c r="B78" s="46"/>
      <c r="C78" s="46"/>
      <c r="D78" s="46"/>
      <c r="E78" s="46"/>
      <c r="F78" s="128"/>
      <c r="G78" s="114"/>
      <c r="H78" s="47" t="s">
        <v>323</v>
      </c>
      <c r="K78" s="12"/>
    </row>
    <row r="79" spans="1:11" s="24" customFormat="1" ht="54" customHeight="1" thickTop="1" thickBot="1" x14ac:dyDescent="0.9">
      <c r="A79" s="48" t="s">
        <v>320</v>
      </c>
      <c r="B79" s="49" t="s">
        <v>171</v>
      </c>
      <c r="C79" s="49" t="s">
        <v>325</v>
      </c>
      <c r="D79" s="49" t="s">
        <v>321</v>
      </c>
      <c r="E79" s="49" t="s">
        <v>311</v>
      </c>
      <c r="F79" s="129" t="s">
        <v>322</v>
      </c>
      <c r="G79" s="115" t="s">
        <v>179</v>
      </c>
      <c r="H79" s="49" t="s">
        <v>199</v>
      </c>
    </row>
    <row r="80" spans="1:11" ht="27" customHeight="1" thickTop="1" x14ac:dyDescent="0.85">
      <c r="A80" s="16">
        <v>0.5</v>
      </c>
      <c r="B80" s="16" t="s">
        <v>168</v>
      </c>
      <c r="C80" s="16" t="s">
        <v>168</v>
      </c>
      <c r="D80" s="16">
        <v>1.4</v>
      </c>
      <c r="E80" s="16">
        <v>20</v>
      </c>
      <c r="F80" s="19" t="s">
        <v>390</v>
      </c>
      <c r="G80" s="83">
        <v>11.25</v>
      </c>
      <c r="H80" s="83">
        <f>G80*((100-Discounts!$B$17)/100)</f>
        <v>3.9374999999999996</v>
      </c>
    </row>
    <row r="81" spans="1:14" ht="27" customHeight="1" x14ac:dyDescent="0.85">
      <c r="A81" s="18">
        <v>1</v>
      </c>
      <c r="B81" s="18" t="s">
        <v>168</v>
      </c>
      <c r="C81" s="18" t="s">
        <v>168</v>
      </c>
      <c r="D81" s="18">
        <v>1.4</v>
      </c>
      <c r="E81" s="18">
        <v>20</v>
      </c>
      <c r="F81" s="20" t="s">
        <v>50</v>
      </c>
      <c r="G81" s="84">
        <v>16.5</v>
      </c>
      <c r="H81" s="84">
        <f>G81*((100-Discounts!$B$17)/100)</f>
        <v>5.7749999999999995</v>
      </c>
    </row>
    <row r="82" spans="1:14" ht="27" customHeight="1" x14ac:dyDescent="0.85">
      <c r="A82" s="16">
        <v>2</v>
      </c>
      <c r="B82" s="16" t="s">
        <v>168</v>
      </c>
      <c r="C82" s="16" t="s">
        <v>168</v>
      </c>
      <c r="D82" s="16">
        <v>1.4</v>
      </c>
      <c r="E82" s="16">
        <v>10</v>
      </c>
      <c r="F82" s="19" t="s">
        <v>51</v>
      </c>
      <c r="G82" s="83">
        <v>30</v>
      </c>
      <c r="H82" s="83">
        <f>G82*((100-Discounts!$B$17)/100)</f>
        <v>10.5</v>
      </c>
    </row>
    <row r="83" spans="1:14" ht="27" customHeight="1" x14ac:dyDescent="0.85">
      <c r="A83" s="18">
        <v>3</v>
      </c>
      <c r="B83" s="18" t="s">
        <v>168</v>
      </c>
      <c r="C83" s="18" t="s">
        <v>168</v>
      </c>
      <c r="D83" s="18">
        <v>1.4</v>
      </c>
      <c r="E83" s="18">
        <v>10</v>
      </c>
      <c r="F83" s="20" t="s">
        <v>52</v>
      </c>
      <c r="G83" s="84">
        <v>43.25</v>
      </c>
      <c r="H83" s="84">
        <f>G83*((100-Discounts!$B$17)/100)</f>
        <v>15.137499999999999</v>
      </c>
    </row>
    <row r="84" spans="1:14" ht="27" customHeight="1" x14ac:dyDescent="0.85">
      <c r="A84" s="16">
        <v>4</v>
      </c>
      <c r="B84" s="16" t="s">
        <v>168</v>
      </c>
      <c r="C84" s="16" t="s">
        <v>168</v>
      </c>
      <c r="D84" s="16">
        <v>1.4</v>
      </c>
      <c r="E84" s="16">
        <v>10</v>
      </c>
      <c r="F84" s="19" t="s">
        <v>53</v>
      </c>
      <c r="G84" s="83">
        <v>57.75</v>
      </c>
      <c r="H84" s="83">
        <f>G84*((100-Discounts!$B$17)/100)</f>
        <v>20.212499999999999</v>
      </c>
    </row>
    <row r="85" spans="1:14" ht="27" customHeight="1" x14ac:dyDescent="0.85">
      <c r="A85" s="18">
        <v>5</v>
      </c>
      <c r="B85" s="18" t="s">
        <v>168</v>
      </c>
      <c r="C85" s="18" t="s">
        <v>168</v>
      </c>
      <c r="D85" s="18">
        <v>1.4</v>
      </c>
      <c r="E85" s="18">
        <v>10</v>
      </c>
      <c r="F85" s="20" t="s">
        <v>54</v>
      </c>
      <c r="G85" s="84">
        <v>70.75</v>
      </c>
      <c r="H85" s="84">
        <f>G85*((100-Discounts!$B$17)/100)</f>
        <v>24.762499999999999</v>
      </c>
    </row>
    <row r="86" spans="1:14" ht="27" customHeight="1" x14ac:dyDescent="0.85">
      <c r="A86" s="16">
        <v>6</v>
      </c>
      <c r="B86" s="16" t="s">
        <v>168</v>
      </c>
      <c r="C86" s="16" t="s">
        <v>168</v>
      </c>
      <c r="D86" s="16">
        <v>1.4</v>
      </c>
      <c r="E86" s="16">
        <v>10</v>
      </c>
      <c r="F86" s="19" t="s">
        <v>55</v>
      </c>
      <c r="G86" s="83">
        <v>83.25</v>
      </c>
      <c r="H86" s="83">
        <f>G86*((100-Discounts!$B$17)/100)</f>
        <v>29.137499999999999</v>
      </c>
    </row>
    <row r="87" spans="1:14" ht="27" customHeight="1" x14ac:dyDescent="0.85">
      <c r="A87" s="18">
        <v>8</v>
      </c>
      <c r="B87" s="18" t="s">
        <v>168</v>
      </c>
      <c r="C87" s="18" t="s">
        <v>168</v>
      </c>
      <c r="D87" s="18">
        <v>1.4</v>
      </c>
      <c r="E87" s="18">
        <v>5</v>
      </c>
      <c r="F87" s="20" t="s">
        <v>56</v>
      </c>
      <c r="G87" s="84">
        <v>111</v>
      </c>
      <c r="H87" s="84">
        <f>G87*((100-Discounts!$B$17)/100)</f>
        <v>38.849999999999994</v>
      </c>
    </row>
    <row r="88" spans="1:14" ht="27" customHeight="1" x14ac:dyDescent="0.85">
      <c r="A88" s="16">
        <v>8</v>
      </c>
      <c r="B88" s="16" t="s">
        <v>168</v>
      </c>
      <c r="C88" s="16" t="s">
        <v>168</v>
      </c>
      <c r="D88" s="16">
        <v>1.4</v>
      </c>
      <c r="E88" s="16">
        <v>10</v>
      </c>
      <c r="F88" s="19" t="s">
        <v>57</v>
      </c>
      <c r="G88" s="83">
        <v>136</v>
      </c>
      <c r="H88" s="83">
        <f>G88*((100-Discounts!$B$17)/100)</f>
        <v>47.599999999999994</v>
      </c>
    </row>
    <row r="89" spans="1:14" ht="27" customHeight="1" x14ac:dyDescent="0.85">
      <c r="A89" s="18">
        <v>10</v>
      </c>
      <c r="B89" s="18" t="s">
        <v>168</v>
      </c>
      <c r="C89" s="18" t="s">
        <v>168</v>
      </c>
      <c r="D89" s="18">
        <v>1.4</v>
      </c>
      <c r="E89" s="18">
        <v>5</v>
      </c>
      <c r="F89" s="20" t="s">
        <v>57</v>
      </c>
      <c r="G89" s="84">
        <v>136</v>
      </c>
      <c r="H89" s="84">
        <f>G89*((100-Discounts!$B$17)/100)</f>
        <v>47.599999999999994</v>
      </c>
    </row>
    <row r="90" spans="1:14" ht="27" customHeight="1" thickBot="1" x14ac:dyDescent="0.9">
      <c r="A90" s="16">
        <v>10</v>
      </c>
      <c r="B90" s="16" t="s">
        <v>168</v>
      </c>
      <c r="C90" s="16" t="s">
        <v>168</v>
      </c>
      <c r="D90" s="16">
        <v>1.4</v>
      </c>
      <c r="E90" s="16">
        <v>10</v>
      </c>
      <c r="F90" s="19" t="s">
        <v>57</v>
      </c>
      <c r="G90" s="83">
        <v>136</v>
      </c>
      <c r="H90" s="83">
        <f>G90*((100-Discounts!$B$17)/100)</f>
        <v>47.599999999999994</v>
      </c>
    </row>
    <row r="91" spans="1:14" s="11" customFormat="1" ht="40.5" customHeight="1" thickTop="1" thickBot="1" x14ac:dyDescent="0.9">
      <c r="A91" s="45" t="s">
        <v>391</v>
      </c>
      <c r="B91" s="46"/>
      <c r="C91" s="46"/>
      <c r="D91" s="46"/>
      <c r="E91" s="46"/>
      <c r="F91" s="128"/>
      <c r="G91" s="114"/>
      <c r="H91" s="47" t="s">
        <v>323</v>
      </c>
      <c r="J91" s="13"/>
      <c r="N91" s="12"/>
    </row>
    <row r="92" spans="1:14" s="24" customFormat="1" ht="54" customHeight="1" thickTop="1" thickBot="1" x14ac:dyDescent="0.9">
      <c r="A92" s="48" t="s">
        <v>320</v>
      </c>
      <c r="B92" s="49" t="s">
        <v>171</v>
      </c>
      <c r="C92" s="49" t="s">
        <v>325</v>
      </c>
      <c r="D92" s="49" t="s">
        <v>321</v>
      </c>
      <c r="E92" s="49" t="s">
        <v>311</v>
      </c>
      <c r="F92" s="129" t="s">
        <v>322</v>
      </c>
      <c r="G92" s="115" t="s">
        <v>179</v>
      </c>
      <c r="H92" s="49" t="s">
        <v>199</v>
      </c>
    </row>
    <row r="93" spans="1:14" ht="27" customHeight="1" thickTop="1" x14ac:dyDescent="0.85">
      <c r="A93" s="16">
        <v>1</v>
      </c>
      <c r="B93" s="16" t="s">
        <v>168</v>
      </c>
      <c r="C93" s="16" t="s">
        <v>168</v>
      </c>
      <c r="D93" s="16">
        <v>1.4</v>
      </c>
      <c r="E93" s="16">
        <v>10</v>
      </c>
      <c r="F93" s="19" t="s">
        <v>319</v>
      </c>
      <c r="G93" s="83">
        <v>11</v>
      </c>
      <c r="H93" s="83">
        <f>G93*((100-Discounts!$B$18)/100)</f>
        <v>4.62</v>
      </c>
    </row>
    <row r="94" spans="1:14" ht="27" customHeight="1" x14ac:dyDescent="0.85">
      <c r="A94" s="18">
        <v>2</v>
      </c>
      <c r="B94" s="18" t="s">
        <v>168</v>
      </c>
      <c r="C94" s="18" t="s">
        <v>168</v>
      </c>
      <c r="D94" s="18">
        <v>1.4</v>
      </c>
      <c r="E94" s="18">
        <v>10</v>
      </c>
      <c r="F94" s="20" t="s">
        <v>102</v>
      </c>
      <c r="G94" s="84">
        <v>19</v>
      </c>
      <c r="H94" s="84">
        <f>G94*((100-Discounts!$B$18)/100)</f>
        <v>7.9799999999999995</v>
      </c>
    </row>
    <row r="95" spans="1:14" ht="27" customHeight="1" x14ac:dyDescent="0.85">
      <c r="A95" s="16">
        <v>2.5</v>
      </c>
      <c r="B95" s="16" t="s">
        <v>168</v>
      </c>
      <c r="C95" s="16" t="s">
        <v>168</v>
      </c>
      <c r="D95" s="16">
        <v>1.4</v>
      </c>
      <c r="E95" s="16">
        <v>10</v>
      </c>
      <c r="F95" s="19" t="s">
        <v>392</v>
      </c>
      <c r="G95" s="83">
        <v>23.75</v>
      </c>
      <c r="H95" s="83">
        <f>G95*((100-Discounts!$B$18)/100)</f>
        <v>9.9749999999999996</v>
      </c>
    </row>
    <row r="96" spans="1:14" ht="27" customHeight="1" x14ac:dyDescent="0.85">
      <c r="A96" s="18">
        <v>3</v>
      </c>
      <c r="B96" s="18" t="s">
        <v>168</v>
      </c>
      <c r="C96" s="18" t="s">
        <v>168</v>
      </c>
      <c r="D96" s="18">
        <v>1.4</v>
      </c>
      <c r="E96" s="18">
        <v>10</v>
      </c>
      <c r="F96" s="20" t="s">
        <v>103</v>
      </c>
      <c r="G96" s="84">
        <v>26.75</v>
      </c>
      <c r="H96" s="84">
        <f>G96*((100-Discounts!$B$18)/100)</f>
        <v>11.234999999999999</v>
      </c>
    </row>
    <row r="97" spans="1:14" ht="27" customHeight="1" x14ac:dyDescent="0.85">
      <c r="A97" s="16">
        <v>4</v>
      </c>
      <c r="B97" s="16" t="s">
        <v>168</v>
      </c>
      <c r="C97" s="16" t="s">
        <v>168</v>
      </c>
      <c r="D97" s="16">
        <v>1.4</v>
      </c>
      <c r="E97" s="16">
        <v>10</v>
      </c>
      <c r="F97" s="19" t="s">
        <v>104</v>
      </c>
      <c r="G97" s="83">
        <v>35.5</v>
      </c>
      <c r="H97" s="83">
        <f>G97*((100-Discounts!$B$18)/100)</f>
        <v>14.91</v>
      </c>
    </row>
    <row r="98" spans="1:14" ht="27" customHeight="1" x14ac:dyDescent="0.85">
      <c r="A98" s="18">
        <v>5</v>
      </c>
      <c r="B98" s="18" t="s">
        <v>168</v>
      </c>
      <c r="C98" s="18" t="s">
        <v>168</v>
      </c>
      <c r="D98" s="18">
        <v>1.4</v>
      </c>
      <c r="E98" s="18">
        <v>10</v>
      </c>
      <c r="F98" s="20" t="s">
        <v>105</v>
      </c>
      <c r="G98" s="84">
        <v>43.5</v>
      </c>
      <c r="H98" s="84">
        <f>G98*((100-Discounts!$B$18)/100)</f>
        <v>18.27</v>
      </c>
    </row>
    <row r="99" spans="1:14" ht="27" customHeight="1" x14ac:dyDescent="0.85">
      <c r="A99" s="16">
        <v>6</v>
      </c>
      <c r="B99" s="16" t="s">
        <v>168</v>
      </c>
      <c r="C99" s="16" t="s">
        <v>168</v>
      </c>
      <c r="D99" s="16">
        <v>1.4</v>
      </c>
      <c r="E99" s="16">
        <v>10</v>
      </c>
      <c r="F99" s="19" t="s">
        <v>106</v>
      </c>
      <c r="G99" s="83">
        <v>51.25</v>
      </c>
      <c r="H99" s="83">
        <f>G99*((100-Discounts!$B$18)/100)</f>
        <v>21.524999999999999</v>
      </c>
    </row>
    <row r="100" spans="1:14" ht="27" customHeight="1" x14ac:dyDescent="0.85">
      <c r="A100" s="18">
        <v>8</v>
      </c>
      <c r="B100" s="18" t="s">
        <v>168</v>
      </c>
      <c r="C100" s="18" t="s">
        <v>168</v>
      </c>
      <c r="D100" s="18">
        <v>1.4</v>
      </c>
      <c r="E100" s="18">
        <v>5</v>
      </c>
      <c r="F100" s="20" t="s">
        <v>107</v>
      </c>
      <c r="G100" s="84">
        <v>67.25</v>
      </c>
      <c r="H100" s="84">
        <f>G100*((100-Discounts!$B$18)/100)</f>
        <v>28.244999999999997</v>
      </c>
    </row>
    <row r="101" spans="1:14" ht="27" customHeight="1" x14ac:dyDescent="0.85">
      <c r="A101" s="16">
        <v>10</v>
      </c>
      <c r="B101" s="16" t="s">
        <v>168</v>
      </c>
      <c r="C101" s="16" t="s">
        <v>168</v>
      </c>
      <c r="D101" s="16">
        <v>1.4</v>
      </c>
      <c r="E101" s="16">
        <v>5</v>
      </c>
      <c r="F101" s="19" t="s">
        <v>108</v>
      </c>
      <c r="G101" s="83">
        <v>82.5</v>
      </c>
      <c r="H101" s="83">
        <f>G101*((100-Discounts!$B$18)/100)</f>
        <v>34.65</v>
      </c>
    </row>
    <row r="102" spans="1:14" ht="27" customHeight="1" x14ac:dyDescent="0.85">
      <c r="A102" s="18">
        <v>12</v>
      </c>
      <c r="B102" s="18" t="s">
        <v>168</v>
      </c>
      <c r="C102" s="18" t="s">
        <v>168</v>
      </c>
      <c r="D102" s="18">
        <v>1.4</v>
      </c>
      <c r="E102" s="18">
        <v>5</v>
      </c>
      <c r="F102" s="20" t="s">
        <v>393</v>
      </c>
      <c r="G102" s="84">
        <v>98.5</v>
      </c>
      <c r="H102" s="84">
        <f>G102*((100-Discounts!$B$18)/100)</f>
        <v>41.37</v>
      </c>
    </row>
    <row r="103" spans="1:14" ht="27" customHeight="1" thickBot="1" x14ac:dyDescent="0.9">
      <c r="A103" s="16">
        <v>20</v>
      </c>
      <c r="B103" s="16" t="s">
        <v>168</v>
      </c>
      <c r="C103" s="16" t="s">
        <v>168</v>
      </c>
      <c r="D103" s="16">
        <v>1.4</v>
      </c>
      <c r="E103" s="16">
        <v>5</v>
      </c>
      <c r="F103" s="19" t="s">
        <v>394</v>
      </c>
      <c r="G103" s="83">
        <v>157.25</v>
      </c>
      <c r="H103" s="83">
        <f>G103*((100-Discounts!$B$18)/100)</f>
        <v>66.045000000000002</v>
      </c>
    </row>
    <row r="104" spans="1:14" s="11" customFormat="1" ht="40.5" customHeight="1" thickTop="1" thickBot="1" x14ac:dyDescent="0.9">
      <c r="A104" s="45" t="s">
        <v>253</v>
      </c>
      <c r="B104" s="46"/>
      <c r="C104" s="46"/>
      <c r="D104" s="46"/>
      <c r="E104" s="46"/>
      <c r="F104" s="128"/>
      <c r="G104" s="114"/>
      <c r="H104" s="47" t="s">
        <v>323</v>
      </c>
      <c r="J104" s="13"/>
      <c r="N104" s="12"/>
    </row>
    <row r="105" spans="1:14" s="24" customFormat="1" ht="54" customHeight="1" thickTop="1" thickBot="1" x14ac:dyDescent="0.9">
      <c r="A105" s="48" t="s">
        <v>320</v>
      </c>
      <c r="B105" s="49" t="s">
        <v>171</v>
      </c>
      <c r="C105" s="49" t="s">
        <v>325</v>
      </c>
      <c r="D105" s="49" t="s">
        <v>321</v>
      </c>
      <c r="E105" s="49" t="s">
        <v>311</v>
      </c>
      <c r="F105" s="129" t="s">
        <v>322</v>
      </c>
      <c r="G105" s="115" t="s">
        <v>179</v>
      </c>
      <c r="H105" s="49" t="s">
        <v>199</v>
      </c>
    </row>
    <row r="106" spans="1:14" ht="27" customHeight="1" thickTop="1" x14ac:dyDescent="0.85">
      <c r="A106" s="16">
        <v>2</v>
      </c>
      <c r="B106" s="16" t="s">
        <v>168</v>
      </c>
      <c r="C106" s="16" t="s">
        <v>168</v>
      </c>
      <c r="D106" s="16">
        <v>1.4</v>
      </c>
      <c r="E106" s="16">
        <v>10</v>
      </c>
      <c r="F106" s="19" t="s">
        <v>193</v>
      </c>
      <c r="G106" s="83">
        <v>42</v>
      </c>
      <c r="H106" s="83">
        <f>G106*((100-Discounts!$B$19)/100)</f>
        <v>14.7</v>
      </c>
    </row>
    <row r="107" spans="1:14" ht="27" customHeight="1" x14ac:dyDescent="0.85">
      <c r="A107" s="18">
        <v>3</v>
      </c>
      <c r="B107" s="18" t="s">
        <v>168</v>
      </c>
      <c r="C107" s="18" t="s">
        <v>168</v>
      </c>
      <c r="D107" s="18">
        <v>1.4</v>
      </c>
      <c r="E107" s="18">
        <v>10</v>
      </c>
      <c r="F107" s="20" t="s">
        <v>194</v>
      </c>
      <c r="G107" s="84">
        <v>60.5</v>
      </c>
      <c r="H107" s="84">
        <f>G107*((100-Discounts!$B$19)/100)</f>
        <v>21.174999999999997</v>
      </c>
    </row>
    <row r="108" spans="1:14" ht="27" customHeight="1" x14ac:dyDescent="0.85">
      <c r="A108" s="16">
        <v>4</v>
      </c>
      <c r="B108" s="16" t="s">
        <v>168</v>
      </c>
      <c r="C108" s="16" t="s">
        <v>168</v>
      </c>
      <c r="D108" s="16">
        <v>1.4</v>
      </c>
      <c r="E108" s="16">
        <v>10</v>
      </c>
      <c r="F108" s="19" t="s">
        <v>195</v>
      </c>
      <c r="G108" s="83">
        <v>80.75</v>
      </c>
      <c r="H108" s="83">
        <f>G108*((100-Discounts!$B$19)/100)</f>
        <v>28.262499999999999</v>
      </c>
    </row>
    <row r="109" spans="1:14" ht="27" customHeight="1" thickBot="1" x14ac:dyDescent="0.9">
      <c r="A109" s="18">
        <v>5</v>
      </c>
      <c r="B109" s="18" t="s">
        <v>168</v>
      </c>
      <c r="C109" s="18" t="s">
        <v>168</v>
      </c>
      <c r="D109" s="18">
        <v>1.4</v>
      </c>
      <c r="E109" s="18">
        <v>10</v>
      </c>
      <c r="F109" s="20" t="s">
        <v>196</v>
      </c>
      <c r="G109" s="84">
        <v>99.25</v>
      </c>
      <c r="H109" s="84">
        <f>G109*((100-Discounts!$B$19)/100)</f>
        <v>34.737499999999997</v>
      </c>
    </row>
    <row r="110" spans="1:14" s="11" customFormat="1" ht="40.5" customHeight="1" thickTop="1" thickBot="1" x14ac:dyDescent="0.9">
      <c r="A110" s="45" t="s">
        <v>254</v>
      </c>
      <c r="B110" s="46"/>
      <c r="C110" s="46"/>
      <c r="D110" s="46"/>
      <c r="E110" s="46"/>
      <c r="F110" s="128"/>
      <c r="G110" s="114"/>
      <c r="H110" s="47" t="s">
        <v>323</v>
      </c>
      <c r="J110" s="13"/>
      <c r="N110" s="12"/>
    </row>
    <row r="111" spans="1:14" s="24" customFormat="1" ht="54" customHeight="1" thickTop="1" thickBot="1" x14ac:dyDescent="0.9">
      <c r="A111" s="48" t="s">
        <v>320</v>
      </c>
      <c r="B111" s="49" t="s">
        <v>171</v>
      </c>
      <c r="C111" s="49" t="s">
        <v>325</v>
      </c>
      <c r="D111" s="49" t="s">
        <v>321</v>
      </c>
      <c r="E111" s="49" t="s">
        <v>311</v>
      </c>
      <c r="F111" s="129" t="s">
        <v>322</v>
      </c>
      <c r="G111" s="115" t="s">
        <v>179</v>
      </c>
      <c r="H111" s="49" t="s">
        <v>199</v>
      </c>
    </row>
    <row r="112" spans="1:14" ht="27" customHeight="1" thickTop="1" x14ac:dyDescent="0.85">
      <c r="A112" s="16">
        <v>1</v>
      </c>
      <c r="B112" s="16" t="s">
        <v>168</v>
      </c>
      <c r="C112" s="16" t="s">
        <v>168</v>
      </c>
      <c r="D112" s="16">
        <v>1.4</v>
      </c>
      <c r="E112" s="16">
        <v>20</v>
      </c>
      <c r="F112" s="19" t="s">
        <v>197</v>
      </c>
      <c r="G112" s="83">
        <v>20.25</v>
      </c>
      <c r="H112" s="83">
        <f>G112*((100-Discounts!$B$20)/100)</f>
        <v>7.0874999999999995</v>
      </c>
    </row>
    <row r="113" spans="1:8" ht="27" customHeight="1" x14ac:dyDescent="0.85">
      <c r="A113" s="18">
        <v>2</v>
      </c>
      <c r="B113" s="18" t="s">
        <v>168</v>
      </c>
      <c r="C113" s="18" t="s">
        <v>168</v>
      </c>
      <c r="D113" s="18">
        <v>1.4</v>
      </c>
      <c r="E113" s="18">
        <v>10</v>
      </c>
      <c r="F113" s="20" t="s">
        <v>395</v>
      </c>
      <c r="G113" s="84">
        <v>36.5</v>
      </c>
      <c r="H113" s="84">
        <f>G113*((100-Discounts!$B$20)/100)</f>
        <v>12.774999999999999</v>
      </c>
    </row>
    <row r="114" spans="1:8" ht="27" customHeight="1" x14ac:dyDescent="0.85">
      <c r="A114" s="16">
        <v>3</v>
      </c>
      <c r="B114" s="16" t="s">
        <v>168</v>
      </c>
      <c r="C114" s="16" t="s">
        <v>168</v>
      </c>
      <c r="D114" s="16">
        <v>1.4</v>
      </c>
      <c r="E114" s="16">
        <v>10</v>
      </c>
      <c r="F114" s="19" t="s">
        <v>713</v>
      </c>
      <c r="G114" s="83">
        <v>52.5</v>
      </c>
      <c r="H114" s="83">
        <f>G114*((100-Discounts!$B$20)/100)</f>
        <v>18.375</v>
      </c>
    </row>
    <row r="115" spans="1:8" ht="27" customHeight="1" x14ac:dyDescent="0.85">
      <c r="A115" s="18">
        <v>4</v>
      </c>
      <c r="B115" s="18" t="s">
        <v>168</v>
      </c>
      <c r="C115" s="18" t="s">
        <v>168</v>
      </c>
      <c r="D115" s="18">
        <v>1.4</v>
      </c>
      <c r="E115" s="18">
        <v>10</v>
      </c>
      <c r="F115" s="20" t="s">
        <v>714</v>
      </c>
      <c r="G115" s="84">
        <v>70.25</v>
      </c>
      <c r="H115" s="84">
        <f>G115*((100-Discounts!$B$20)/100)</f>
        <v>24.587499999999999</v>
      </c>
    </row>
    <row r="116" spans="1:8" ht="27" customHeight="1" x14ac:dyDescent="0.85">
      <c r="A116" s="16">
        <v>5</v>
      </c>
      <c r="B116" s="16" t="s">
        <v>168</v>
      </c>
      <c r="C116" s="16" t="s">
        <v>168</v>
      </c>
      <c r="D116" s="16">
        <v>1.4</v>
      </c>
      <c r="E116" s="16">
        <v>10</v>
      </c>
      <c r="F116" s="19" t="s">
        <v>715</v>
      </c>
      <c r="G116" s="83">
        <v>86</v>
      </c>
      <c r="H116" s="83">
        <f>G116*((100-Discounts!$B$20)/100)</f>
        <v>30.099999999999998</v>
      </c>
    </row>
  </sheetData>
  <hyperlinks>
    <hyperlink ref="A1:D1" r:id="rId1" display="NBR Rubber sheets" xr:uid="{52B388FE-D668-4E17-909C-509B8785C758}"/>
    <hyperlink ref="H2" r:id="rId2" xr:uid="{25BF2A3B-F23F-4E1E-95AF-453BF05B82B4}"/>
    <hyperlink ref="A2" r:id="rId3" xr:uid="{117C321C-432B-44D0-8B9D-D35692BA06CD}"/>
    <hyperlink ref="H30" r:id="rId4" xr:uid="{CE8DC622-37C3-4BF0-9CA8-5CD422002185}"/>
    <hyperlink ref="A30" r:id="rId5" xr:uid="{6874AB0E-A7E8-4518-B7F9-315BAC480E99}"/>
    <hyperlink ref="H52" r:id="rId6" xr:uid="{6E9BBBD0-6281-4226-AFE6-23506C783929}"/>
    <hyperlink ref="A52" r:id="rId7" xr:uid="{203E3A03-B8C1-46B7-A94D-F3C5E69F716F}"/>
    <hyperlink ref="H65" r:id="rId8" xr:uid="{909F5B18-2120-4DFB-B138-624818ECC0A3}"/>
    <hyperlink ref="A65" r:id="rId9" xr:uid="{AEB3C668-3299-42D6-B400-F0FBE84F128E}"/>
    <hyperlink ref="H78" r:id="rId10" xr:uid="{EEBBD5D3-00CC-4400-9BC1-E1EA36CDB37F}"/>
    <hyperlink ref="A78" r:id="rId11" xr:uid="{D87440D5-A72D-45F1-8FDD-4308925A64EF}"/>
    <hyperlink ref="H91" r:id="rId12" xr:uid="{BAC99CDA-FBD9-486B-A153-89F3B4DE2011}"/>
    <hyperlink ref="A91" r:id="rId13" xr:uid="{E1EC31DB-13C8-4B2D-9060-0D4CFC07BBC6}"/>
    <hyperlink ref="H104" r:id="rId14" xr:uid="{FD1556F4-FC98-4D27-B78E-DB7633125152}"/>
    <hyperlink ref="A104" r:id="rId15" xr:uid="{5A897963-ADEE-44FF-BEB5-1CA0C20C4FAF}"/>
    <hyperlink ref="H110" r:id="rId16" xr:uid="{6285D959-026A-489C-8FF7-E48171F24C24}"/>
    <hyperlink ref="A110" r:id="rId17" xr:uid="{23B5BDC8-6BF1-42F0-83A3-748C9E4BBE4B}"/>
  </hyperlinks>
  <pageMargins left="0.51181102362204722" right="0.51181102362204722" top="0.35433070866141736" bottom="0.35433070866141736" header="0.11811023622047245" footer="0.11811023622047245"/>
  <pageSetup paperSize="9" scale="74" fitToHeight="0" orientation="landscape" r:id="rId18"/>
  <headerFooter>
    <oddFooter>&amp;R&amp;P van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1C709"/>
    <pageSetUpPr fitToPage="1"/>
  </sheetPr>
  <dimension ref="A1:N101"/>
  <sheetViews>
    <sheetView topLeftCell="A93" zoomScale="70" zoomScaleNormal="70" zoomScalePageLayoutView="120" workbookViewId="0">
      <selection sqref="A1:H101"/>
    </sheetView>
  </sheetViews>
  <sheetFormatPr defaultColWidth="8.6640625" defaultRowHeight="27" customHeight="1" x14ac:dyDescent="0.85"/>
  <cols>
    <col min="1" max="5" width="16.5546875" style="3" customWidth="1"/>
    <col min="6" max="6" width="20.5546875" style="122" customWidth="1"/>
    <col min="7" max="7" width="20.5546875" style="116" customWidth="1"/>
    <col min="8" max="8" width="20.5546875" style="3" customWidth="1"/>
    <col min="9" max="16384" width="8.6640625" style="3"/>
  </cols>
  <sheetData>
    <row r="1" spans="1:14" s="11" customFormat="1" ht="40.5" customHeight="1" thickBot="1" x14ac:dyDescent="0.9">
      <c r="A1" s="213" t="s">
        <v>403</v>
      </c>
      <c r="B1" s="213"/>
      <c r="C1" s="213"/>
      <c r="D1" s="213"/>
      <c r="E1" s="21"/>
      <c r="F1" s="123"/>
      <c r="G1" s="117"/>
      <c r="H1" s="21"/>
      <c r="L1" s="12"/>
    </row>
    <row r="2" spans="1:14" s="11" customFormat="1" ht="40.5" customHeight="1" thickTop="1" thickBot="1" x14ac:dyDescent="0.9">
      <c r="A2" s="22" t="s">
        <v>216</v>
      </c>
      <c r="B2" s="23"/>
      <c r="C2" s="23"/>
      <c r="D2" s="23"/>
      <c r="E2" s="23"/>
      <c r="F2" s="124"/>
      <c r="G2" s="118"/>
      <c r="H2" s="1" t="s">
        <v>323</v>
      </c>
      <c r="J2" s="13"/>
      <c r="N2" s="12"/>
    </row>
    <row r="3" spans="1:14" s="24" customFormat="1" ht="54" customHeight="1" thickTop="1" thickBot="1" x14ac:dyDescent="0.9">
      <c r="A3" s="39" t="s">
        <v>320</v>
      </c>
      <c r="B3" s="40" t="s">
        <v>171</v>
      </c>
      <c r="C3" s="40" t="s">
        <v>325</v>
      </c>
      <c r="D3" s="40" t="s">
        <v>321</v>
      </c>
      <c r="E3" s="40" t="s">
        <v>311</v>
      </c>
      <c r="F3" s="125" t="s">
        <v>322</v>
      </c>
      <c r="G3" s="119" t="s">
        <v>179</v>
      </c>
      <c r="H3" s="40" t="s">
        <v>199</v>
      </c>
    </row>
    <row r="4" spans="1:14" s="14" customFormat="1" ht="27" customHeight="1" thickTop="1" x14ac:dyDescent="0.85">
      <c r="A4" s="16">
        <v>1</v>
      </c>
      <c r="B4" s="16" t="s">
        <v>168</v>
      </c>
      <c r="C4" s="16" t="s">
        <v>168</v>
      </c>
      <c r="D4" s="16">
        <v>1.4</v>
      </c>
      <c r="E4" s="16">
        <v>20</v>
      </c>
      <c r="F4" s="103" t="s">
        <v>133</v>
      </c>
      <c r="G4" s="108">
        <v>10</v>
      </c>
      <c r="H4" s="108">
        <f>G4*((100-Discounts!$B$22)/100)</f>
        <v>4</v>
      </c>
    </row>
    <row r="5" spans="1:14" s="14" customFormat="1" ht="27" customHeight="1" x14ac:dyDescent="0.85">
      <c r="A5" s="18">
        <v>1.5</v>
      </c>
      <c r="B5" s="18" t="s">
        <v>168</v>
      </c>
      <c r="C5" s="18" t="s">
        <v>168</v>
      </c>
      <c r="D5" s="18">
        <v>1.4</v>
      </c>
      <c r="E5" s="18">
        <v>15</v>
      </c>
      <c r="F5" s="98" t="s">
        <v>19</v>
      </c>
      <c r="G5" s="84">
        <v>13.75</v>
      </c>
      <c r="H5" s="84">
        <f>G5*((100-Discounts!$B$22)/100)</f>
        <v>5.5</v>
      </c>
    </row>
    <row r="6" spans="1:14" s="14" customFormat="1" ht="27" customHeight="1" x14ac:dyDescent="0.85">
      <c r="A6" s="16">
        <v>2</v>
      </c>
      <c r="B6" s="16" t="s">
        <v>168</v>
      </c>
      <c r="C6" s="16" t="s">
        <v>168</v>
      </c>
      <c r="D6" s="16">
        <v>1.2</v>
      </c>
      <c r="E6" s="16">
        <v>10</v>
      </c>
      <c r="F6" s="97" t="s">
        <v>21</v>
      </c>
      <c r="G6" s="83">
        <v>16.75</v>
      </c>
      <c r="H6" s="83">
        <f>G6*((100-Discounts!$B$22)/100)</f>
        <v>6.7</v>
      </c>
    </row>
    <row r="7" spans="1:14" s="14" customFormat="1" ht="27" customHeight="1" x14ac:dyDescent="0.85">
      <c r="A7" s="18">
        <v>2</v>
      </c>
      <c r="B7" s="18" t="s">
        <v>168</v>
      </c>
      <c r="C7" s="18" t="s">
        <v>168</v>
      </c>
      <c r="D7" s="18">
        <v>1.4</v>
      </c>
      <c r="E7" s="18">
        <v>10</v>
      </c>
      <c r="F7" s="98" t="s">
        <v>21</v>
      </c>
      <c r="G7" s="84">
        <v>16.75</v>
      </c>
      <c r="H7" s="84">
        <f>G7*((100-Discounts!$B$22)/100)</f>
        <v>6.7</v>
      </c>
    </row>
    <row r="8" spans="1:14" s="14" customFormat="1" ht="27" customHeight="1" x14ac:dyDescent="0.85">
      <c r="A8" s="16">
        <v>3</v>
      </c>
      <c r="B8" s="16" t="s">
        <v>168</v>
      </c>
      <c r="C8" s="16" t="s">
        <v>168</v>
      </c>
      <c r="D8" s="16">
        <v>1.2</v>
      </c>
      <c r="E8" s="16">
        <v>10</v>
      </c>
      <c r="F8" s="97" t="s">
        <v>23</v>
      </c>
      <c r="G8" s="83">
        <v>23.5</v>
      </c>
      <c r="H8" s="83">
        <f>G8*((100-Discounts!$B$22)/100)</f>
        <v>9.4</v>
      </c>
    </row>
    <row r="9" spans="1:14" s="14" customFormat="1" ht="27" customHeight="1" x14ac:dyDescent="0.85">
      <c r="A9" s="18">
        <v>3</v>
      </c>
      <c r="B9" s="18" t="s">
        <v>168</v>
      </c>
      <c r="C9" s="18" t="s">
        <v>168</v>
      </c>
      <c r="D9" s="18">
        <v>1.4</v>
      </c>
      <c r="E9" s="18">
        <v>10</v>
      </c>
      <c r="F9" s="98" t="s">
        <v>23</v>
      </c>
      <c r="G9" s="84">
        <v>23.5</v>
      </c>
      <c r="H9" s="84">
        <f>G9*((100-Discounts!$B$22)/100)</f>
        <v>9.4</v>
      </c>
    </row>
    <row r="10" spans="1:14" s="14" customFormat="1" ht="27" customHeight="1" x14ac:dyDescent="0.85">
      <c r="A10" s="16">
        <v>4</v>
      </c>
      <c r="B10" s="16" t="s">
        <v>168</v>
      </c>
      <c r="C10" s="16" t="s">
        <v>168</v>
      </c>
      <c r="D10" s="16">
        <v>1.2</v>
      </c>
      <c r="E10" s="16">
        <v>10</v>
      </c>
      <c r="F10" s="97" t="s">
        <v>25</v>
      </c>
      <c r="G10" s="83">
        <v>31.5</v>
      </c>
      <c r="H10" s="83">
        <f>G10*((100-Discounts!$B$22)/100)</f>
        <v>12.600000000000001</v>
      </c>
    </row>
    <row r="11" spans="1:14" s="14" customFormat="1" ht="27" customHeight="1" x14ac:dyDescent="0.85">
      <c r="A11" s="18">
        <v>4</v>
      </c>
      <c r="B11" s="18" t="s">
        <v>168</v>
      </c>
      <c r="C11" s="18" t="s">
        <v>168</v>
      </c>
      <c r="D11" s="18">
        <v>1.4</v>
      </c>
      <c r="E11" s="18">
        <v>10</v>
      </c>
      <c r="F11" s="98" t="s">
        <v>25</v>
      </c>
      <c r="G11" s="84">
        <v>31.5</v>
      </c>
      <c r="H11" s="84">
        <f>G11*((100-Discounts!$B$22)/100)</f>
        <v>12.600000000000001</v>
      </c>
    </row>
    <row r="12" spans="1:14" s="14" customFormat="1" ht="27" customHeight="1" x14ac:dyDescent="0.85">
      <c r="A12" s="16">
        <v>5</v>
      </c>
      <c r="B12" s="16" t="s">
        <v>168</v>
      </c>
      <c r="C12" s="16" t="s">
        <v>168</v>
      </c>
      <c r="D12" s="16">
        <v>1.2</v>
      </c>
      <c r="E12" s="16">
        <v>10</v>
      </c>
      <c r="F12" s="97" t="s">
        <v>27</v>
      </c>
      <c r="G12" s="83">
        <v>39.25</v>
      </c>
      <c r="H12" s="83">
        <f>G12*((100-Discounts!$B$22)/100)</f>
        <v>15.700000000000001</v>
      </c>
    </row>
    <row r="13" spans="1:14" s="14" customFormat="1" ht="27" customHeight="1" x14ac:dyDescent="0.85">
      <c r="A13" s="18">
        <v>5</v>
      </c>
      <c r="B13" s="18" t="s">
        <v>168</v>
      </c>
      <c r="C13" s="18" t="s">
        <v>168</v>
      </c>
      <c r="D13" s="18">
        <v>1.4</v>
      </c>
      <c r="E13" s="18">
        <v>10</v>
      </c>
      <c r="F13" s="98" t="s">
        <v>27</v>
      </c>
      <c r="G13" s="84">
        <v>39.25</v>
      </c>
      <c r="H13" s="84">
        <f>G13*((100-Discounts!$B$22)/100)</f>
        <v>15.700000000000001</v>
      </c>
    </row>
    <row r="14" spans="1:14" s="14" customFormat="1" ht="27" customHeight="1" x14ac:dyDescent="0.85">
      <c r="A14" s="16">
        <v>6</v>
      </c>
      <c r="B14" s="16" t="s">
        <v>168</v>
      </c>
      <c r="C14" s="16" t="s">
        <v>168</v>
      </c>
      <c r="D14" s="16">
        <v>1.2</v>
      </c>
      <c r="E14" s="16">
        <v>10</v>
      </c>
      <c r="F14" s="97" t="s">
        <v>29</v>
      </c>
      <c r="G14" s="83">
        <v>45.75</v>
      </c>
      <c r="H14" s="83">
        <f>G14*((100-Discounts!$B$22)/100)</f>
        <v>18.3</v>
      </c>
    </row>
    <row r="15" spans="1:14" s="14" customFormat="1" ht="27" customHeight="1" x14ac:dyDescent="0.85">
      <c r="A15" s="18">
        <v>6</v>
      </c>
      <c r="B15" s="18" t="s">
        <v>168</v>
      </c>
      <c r="C15" s="18" t="s">
        <v>168</v>
      </c>
      <c r="D15" s="18">
        <v>1.4</v>
      </c>
      <c r="E15" s="18">
        <v>10</v>
      </c>
      <c r="F15" s="98" t="s">
        <v>29</v>
      </c>
      <c r="G15" s="84">
        <v>45.75</v>
      </c>
      <c r="H15" s="84">
        <f>G15*((100-Discounts!$B$22)/100)</f>
        <v>18.3</v>
      </c>
    </row>
    <row r="16" spans="1:14" s="14" customFormat="1" ht="27" customHeight="1" x14ac:dyDescent="0.85">
      <c r="A16" s="16">
        <v>8</v>
      </c>
      <c r="B16" s="16" t="s">
        <v>168</v>
      </c>
      <c r="C16" s="16" t="s">
        <v>168</v>
      </c>
      <c r="D16" s="16">
        <v>1.2</v>
      </c>
      <c r="E16" s="16">
        <v>10</v>
      </c>
      <c r="F16" s="97" t="s">
        <v>30</v>
      </c>
      <c r="G16" s="83">
        <v>60</v>
      </c>
      <c r="H16" s="83">
        <f>G16*((100-Discounts!$B$22)/100)</f>
        <v>24</v>
      </c>
    </row>
    <row r="17" spans="1:14" s="14" customFormat="1" ht="27" customHeight="1" x14ac:dyDescent="0.85">
      <c r="A17" s="18">
        <v>8</v>
      </c>
      <c r="B17" s="18" t="s">
        <v>168</v>
      </c>
      <c r="C17" s="18" t="s">
        <v>168</v>
      </c>
      <c r="D17" s="18">
        <v>1.4</v>
      </c>
      <c r="E17" s="18">
        <v>10</v>
      </c>
      <c r="F17" s="98" t="s">
        <v>30</v>
      </c>
      <c r="G17" s="84">
        <v>60</v>
      </c>
      <c r="H17" s="84">
        <f>G17*((100-Discounts!$B$22)/100)</f>
        <v>24</v>
      </c>
    </row>
    <row r="18" spans="1:14" s="14" customFormat="1" ht="27" customHeight="1" x14ac:dyDescent="0.85">
      <c r="A18" s="16">
        <v>8</v>
      </c>
      <c r="B18" s="16" t="s">
        <v>168</v>
      </c>
      <c r="C18" s="16" t="s">
        <v>168</v>
      </c>
      <c r="D18" s="16">
        <v>1.4</v>
      </c>
      <c r="E18" s="16">
        <v>5</v>
      </c>
      <c r="F18" s="97" t="s">
        <v>30</v>
      </c>
      <c r="G18" s="83">
        <v>60</v>
      </c>
      <c r="H18" s="83">
        <f>G18*((100-Discounts!$B$22)/100)</f>
        <v>24</v>
      </c>
    </row>
    <row r="19" spans="1:14" s="14" customFormat="1" ht="27" customHeight="1" x14ac:dyDescent="0.85">
      <c r="A19" s="18">
        <v>10</v>
      </c>
      <c r="B19" s="18" t="s">
        <v>168</v>
      </c>
      <c r="C19" s="18" t="s">
        <v>168</v>
      </c>
      <c r="D19" s="18">
        <v>1</v>
      </c>
      <c r="E19" s="18">
        <v>5</v>
      </c>
      <c r="F19" s="98" t="s">
        <v>31</v>
      </c>
      <c r="G19" s="84">
        <v>75.75</v>
      </c>
      <c r="H19" s="84">
        <f>G19*((100-Discounts!$B$22)/100)</f>
        <v>30.3</v>
      </c>
    </row>
    <row r="20" spans="1:14" s="14" customFormat="1" ht="27" customHeight="1" x14ac:dyDescent="0.85">
      <c r="A20" s="16">
        <v>10</v>
      </c>
      <c r="B20" s="16" t="s">
        <v>168</v>
      </c>
      <c r="C20" s="16" t="s">
        <v>168</v>
      </c>
      <c r="D20" s="16">
        <v>1.2</v>
      </c>
      <c r="E20" s="16">
        <v>10</v>
      </c>
      <c r="F20" s="97" t="s">
        <v>31</v>
      </c>
      <c r="G20" s="83">
        <v>73.5</v>
      </c>
      <c r="H20" s="83">
        <f>G20*((100-Discounts!$B$22)/100)</f>
        <v>29.400000000000002</v>
      </c>
    </row>
    <row r="21" spans="1:14" s="14" customFormat="1" ht="27" customHeight="1" x14ac:dyDescent="0.85">
      <c r="A21" s="18">
        <v>10</v>
      </c>
      <c r="B21" s="18" t="s">
        <v>168</v>
      </c>
      <c r="C21" s="18" t="s">
        <v>168</v>
      </c>
      <c r="D21" s="18">
        <v>1.4</v>
      </c>
      <c r="E21" s="18">
        <v>5</v>
      </c>
      <c r="F21" s="98" t="s">
        <v>31</v>
      </c>
      <c r="G21" s="84">
        <v>73.5</v>
      </c>
      <c r="H21" s="84">
        <f>G21*((100-Discounts!$B$22)/100)</f>
        <v>29.400000000000002</v>
      </c>
    </row>
    <row r="22" spans="1:14" s="14" customFormat="1" ht="27" customHeight="1" x14ac:dyDescent="0.85">
      <c r="A22" s="16">
        <v>10</v>
      </c>
      <c r="B22" s="16" t="s">
        <v>168</v>
      </c>
      <c r="C22" s="16" t="s">
        <v>168</v>
      </c>
      <c r="D22" s="16">
        <v>1.4</v>
      </c>
      <c r="E22" s="16">
        <v>10</v>
      </c>
      <c r="F22" s="97" t="s">
        <v>31</v>
      </c>
      <c r="G22" s="83">
        <v>73.5</v>
      </c>
      <c r="H22" s="83">
        <f>G22*((100-Discounts!$B$22)/100)</f>
        <v>29.400000000000002</v>
      </c>
    </row>
    <row r="23" spans="1:14" s="14" customFormat="1" ht="27" customHeight="1" x14ac:dyDescent="0.85">
      <c r="A23" s="18">
        <v>10</v>
      </c>
      <c r="B23" s="18" t="s">
        <v>168</v>
      </c>
      <c r="C23" s="18" t="s">
        <v>168</v>
      </c>
      <c r="D23" s="18">
        <v>1.5</v>
      </c>
      <c r="E23" s="18">
        <v>5</v>
      </c>
      <c r="F23" s="98" t="s">
        <v>31</v>
      </c>
      <c r="G23" s="84">
        <v>73.5</v>
      </c>
      <c r="H23" s="84">
        <f>G23*((100-Discounts!$B$22)/100)</f>
        <v>29.400000000000002</v>
      </c>
    </row>
    <row r="24" spans="1:14" s="14" customFormat="1" ht="27" customHeight="1" x14ac:dyDescent="0.85">
      <c r="A24" s="16">
        <v>10</v>
      </c>
      <c r="B24" s="16" t="s">
        <v>168</v>
      </c>
      <c r="C24" s="16" t="s">
        <v>168</v>
      </c>
      <c r="D24" s="16">
        <v>1.5</v>
      </c>
      <c r="E24" s="16">
        <v>10</v>
      </c>
      <c r="F24" s="97" t="s">
        <v>31</v>
      </c>
      <c r="G24" s="83">
        <v>73.5</v>
      </c>
      <c r="H24" s="83">
        <f>G24*((100-Discounts!$B$22)/100)</f>
        <v>29.400000000000002</v>
      </c>
    </row>
    <row r="25" spans="1:14" s="14" customFormat="1" ht="27" customHeight="1" x14ac:dyDescent="0.85">
      <c r="A25" s="18">
        <v>10</v>
      </c>
      <c r="B25" s="18" t="s">
        <v>168</v>
      </c>
      <c r="C25" s="18" t="s">
        <v>168</v>
      </c>
      <c r="D25" s="18">
        <v>1.8</v>
      </c>
      <c r="E25" s="18">
        <v>5</v>
      </c>
      <c r="F25" s="98" t="s">
        <v>31</v>
      </c>
      <c r="G25" s="84">
        <v>73.5</v>
      </c>
      <c r="H25" s="84">
        <f>G25*((100-Discounts!$B$22)/100)</f>
        <v>29.400000000000002</v>
      </c>
    </row>
    <row r="26" spans="1:14" s="14" customFormat="1" ht="27" customHeight="1" x14ac:dyDescent="0.85">
      <c r="A26" s="16">
        <v>12</v>
      </c>
      <c r="B26" s="16" t="s">
        <v>168</v>
      </c>
      <c r="C26" s="16" t="s">
        <v>168</v>
      </c>
      <c r="D26" s="16">
        <v>1.4</v>
      </c>
      <c r="E26" s="16">
        <v>5</v>
      </c>
      <c r="F26" s="97" t="s">
        <v>32</v>
      </c>
      <c r="G26" s="83">
        <v>86.5</v>
      </c>
      <c r="H26" s="83">
        <f>G26*((100-Discounts!$B$22)/100)</f>
        <v>34.6</v>
      </c>
    </row>
    <row r="27" spans="1:14" s="14" customFormat="1" ht="27" customHeight="1" x14ac:dyDescent="0.85">
      <c r="A27" s="18">
        <v>15</v>
      </c>
      <c r="B27" s="18" t="s">
        <v>168</v>
      </c>
      <c r="C27" s="18" t="s">
        <v>168</v>
      </c>
      <c r="D27" s="18">
        <v>1.4</v>
      </c>
      <c r="E27" s="18">
        <v>5</v>
      </c>
      <c r="F27" s="98" t="s">
        <v>33</v>
      </c>
      <c r="G27" s="84">
        <v>107</v>
      </c>
      <c r="H27" s="84">
        <f>G27*((100-Discounts!$B$22)/100)</f>
        <v>42.800000000000004</v>
      </c>
    </row>
    <row r="28" spans="1:14" s="14" customFormat="1" ht="27" customHeight="1" x14ac:dyDescent="0.85">
      <c r="A28" s="16">
        <v>20</v>
      </c>
      <c r="B28" s="16" t="s">
        <v>168</v>
      </c>
      <c r="C28" s="16" t="s">
        <v>168</v>
      </c>
      <c r="D28" s="16">
        <v>1.4</v>
      </c>
      <c r="E28" s="16">
        <v>5</v>
      </c>
      <c r="F28" s="97" t="s">
        <v>34</v>
      </c>
      <c r="G28" s="83">
        <v>141.5</v>
      </c>
      <c r="H28" s="83">
        <f>G28*((100-Discounts!$B$22)/100)</f>
        <v>56.6</v>
      </c>
    </row>
    <row r="29" spans="1:14" s="14" customFormat="1" ht="27" customHeight="1" thickBot="1" x14ac:dyDescent="0.9">
      <c r="A29" s="18">
        <v>25</v>
      </c>
      <c r="B29" s="18" t="s">
        <v>168</v>
      </c>
      <c r="C29" s="18" t="s">
        <v>168</v>
      </c>
      <c r="D29" s="18">
        <v>1.4</v>
      </c>
      <c r="E29" s="18">
        <v>5</v>
      </c>
      <c r="F29" s="98" t="s">
        <v>167</v>
      </c>
      <c r="G29" s="84">
        <v>176.75</v>
      </c>
      <c r="H29" s="84">
        <f>G29*((100-Discounts!$B$22)/100)</f>
        <v>70.7</v>
      </c>
    </row>
    <row r="30" spans="1:14" s="11" customFormat="1" ht="40.5" customHeight="1" thickTop="1" thickBot="1" x14ac:dyDescent="0.9">
      <c r="A30" s="22" t="s">
        <v>404</v>
      </c>
      <c r="B30" s="23"/>
      <c r="C30" s="23"/>
      <c r="D30" s="23"/>
      <c r="E30" s="23"/>
      <c r="F30" s="124"/>
      <c r="G30" s="118"/>
      <c r="H30" s="1" t="s">
        <v>323</v>
      </c>
      <c r="J30" s="13"/>
      <c r="N30" s="12"/>
    </row>
    <row r="31" spans="1:14" s="24" customFormat="1" ht="54" customHeight="1" thickTop="1" thickBot="1" x14ac:dyDescent="0.9">
      <c r="A31" s="39" t="s">
        <v>320</v>
      </c>
      <c r="B31" s="40" t="s">
        <v>171</v>
      </c>
      <c r="C31" s="40" t="s">
        <v>325</v>
      </c>
      <c r="D31" s="40" t="s">
        <v>321</v>
      </c>
      <c r="E31" s="40" t="s">
        <v>311</v>
      </c>
      <c r="F31" s="126" t="s">
        <v>322</v>
      </c>
      <c r="G31" s="119" t="s">
        <v>179</v>
      </c>
      <c r="H31" s="40" t="s">
        <v>199</v>
      </c>
    </row>
    <row r="32" spans="1:14" s="14" customFormat="1" ht="27" customHeight="1" thickTop="1" x14ac:dyDescent="0.85">
      <c r="A32" s="16">
        <v>1.5</v>
      </c>
      <c r="B32" s="16">
        <v>1</v>
      </c>
      <c r="C32" s="16" t="s">
        <v>178</v>
      </c>
      <c r="D32" s="16">
        <v>1.4</v>
      </c>
      <c r="E32" s="16">
        <v>10</v>
      </c>
      <c r="F32" s="19" t="s">
        <v>20</v>
      </c>
      <c r="G32" s="83">
        <v>19.75</v>
      </c>
      <c r="H32" s="83">
        <f>G32*((100-Discounts!$B$22)/100)</f>
        <v>7.9</v>
      </c>
    </row>
    <row r="33" spans="1:8" s="14" customFormat="1" ht="27" customHeight="1" x14ac:dyDescent="0.85">
      <c r="A33" s="18">
        <v>1.5</v>
      </c>
      <c r="B33" s="18">
        <v>1</v>
      </c>
      <c r="C33" s="18" t="s">
        <v>178</v>
      </c>
      <c r="D33" s="18">
        <v>1.4</v>
      </c>
      <c r="E33" s="18">
        <v>15</v>
      </c>
      <c r="F33" s="20" t="s">
        <v>20</v>
      </c>
      <c r="G33" s="84">
        <v>19.75</v>
      </c>
      <c r="H33" s="84">
        <f>G33*((100-Discounts!$B$22)/100)</f>
        <v>7.9</v>
      </c>
    </row>
    <row r="34" spans="1:8" s="14" customFormat="1" ht="27" customHeight="1" x14ac:dyDescent="0.85">
      <c r="A34" s="16">
        <v>2</v>
      </c>
      <c r="B34" s="16">
        <v>1</v>
      </c>
      <c r="C34" s="16" t="s">
        <v>178</v>
      </c>
      <c r="D34" s="16">
        <v>1.2</v>
      </c>
      <c r="E34" s="16">
        <v>10</v>
      </c>
      <c r="F34" s="19" t="s">
        <v>22</v>
      </c>
      <c r="G34" s="83">
        <v>22.75</v>
      </c>
      <c r="H34" s="83">
        <f>G34*((100-Discounts!$B$22)/100)</f>
        <v>9.1</v>
      </c>
    </row>
    <row r="35" spans="1:8" s="14" customFormat="1" ht="27" customHeight="1" x14ac:dyDescent="0.85">
      <c r="A35" s="18">
        <v>2</v>
      </c>
      <c r="B35" s="18">
        <v>1</v>
      </c>
      <c r="C35" s="18" t="s">
        <v>178</v>
      </c>
      <c r="D35" s="18">
        <v>1.4</v>
      </c>
      <c r="E35" s="18">
        <v>10</v>
      </c>
      <c r="F35" s="20" t="s">
        <v>22</v>
      </c>
      <c r="G35" s="84">
        <v>22.75</v>
      </c>
      <c r="H35" s="84">
        <f>G35*((100-Discounts!$B$22)/100)</f>
        <v>9.1</v>
      </c>
    </row>
    <row r="36" spans="1:8" s="14" customFormat="1" ht="27" customHeight="1" x14ac:dyDescent="0.85">
      <c r="A36" s="16">
        <v>3</v>
      </c>
      <c r="B36" s="16">
        <v>1</v>
      </c>
      <c r="C36" s="16" t="s">
        <v>178</v>
      </c>
      <c r="D36" s="16">
        <v>1.2</v>
      </c>
      <c r="E36" s="16">
        <v>10</v>
      </c>
      <c r="F36" s="19" t="s">
        <v>24</v>
      </c>
      <c r="G36" s="83">
        <v>29.5</v>
      </c>
      <c r="H36" s="83">
        <f>G36*((100-Discounts!$B$22)/100)</f>
        <v>11.8</v>
      </c>
    </row>
    <row r="37" spans="1:8" s="14" customFormat="1" ht="27" customHeight="1" x14ac:dyDescent="0.85">
      <c r="A37" s="18">
        <v>3</v>
      </c>
      <c r="B37" s="18">
        <v>1</v>
      </c>
      <c r="C37" s="18" t="s">
        <v>178</v>
      </c>
      <c r="D37" s="18">
        <v>1.4</v>
      </c>
      <c r="E37" s="18">
        <v>10</v>
      </c>
      <c r="F37" s="20" t="s">
        <v>24</v>
      </c>
      <c r="G37" s="84">
        <v>29.5</v>
      </c>
      <c r="H37" s="84">
        <f>G37*((100-Discounts!$B$22)/100)</f>
        <v>11.8</v>
      </c>
    </row>
    <row r="38" spans="1:8" s="14" customFormat="1" ht="27" customHeight="1" x14ac:dyDescent="0.85">
      <c r="A38" s="16">
        <v>3</v>
      </c>
      <c r="B38" s="16">
        <v>2</v>
      </c>
      <c r="C38" s="16" t="s">
        <v>178</v>
      </c>
      <c r="D38" s="16">
        <v>1.2</v>
      </c>
      <c r="E38" s="16">
        <v>10</v>
      </c>
      <c r="F38" s="19" t="s">
        <v>732</v>
      </c>
      <c r="G38" s="83">
        <v>35.5</v>
      </c>
      <c r="H38" s="83">
        <f>G38*((100-Discounts!$B$22)/100)</f>
        <v>14.200000000000001</v>
      </c>
    </row>
    <row r="39" spans="1:8" s="14" customFormat="1" ht="27" customHeight="1" x14ac:dyDescent="0.85">
      <c r="A39" s="18">
        <v>3</v>
      </c>
      <c r="B39" s="18">
        <v>2</v>
      </c>
      <c r="C39" s="18" t="s">
        <v>178</v>
      </c>
      <c r="D39" s="18">
        <v>1.4</v>
      </c>
      <c r="E39" s="18">
        <v>10</v>
      </c>
      <c r="F39" s="20" t="s">
        <v>732</v>
      </c>
      <c r="G39" s="84">
        <v>35.5</v>
      </c>
      <c r="H39" s="84">
        <f>G39*((100-Discounts!$B$22)/100)</f>
        <v>14.200000000000001</v>
      </c>
    </row>
    <row r="40" spans="1:8" s="14" customFormat="1" ht="27" customHeight="1" x14ac:dyDescent="0.85">
      <c r="A40" s="16">
        <v>4</v>
      </c>
      <c r="B40" s="16">
        <v>1</v>
      </c>
      <c r="C40" s="16" t="s">
        <v>178</v>
      </c>
      <c r="D40" s="16">
        <v>1.2</v>
      </c>
      <c r="E40" s="16">
        <v>10</v>
      </c>
      <c r="F40" s="19" t="s">
        <v>26</v>
      </c>
      <c r="G40" s="83">
        <v>37.5</v>
      </c>
      <c r="H40" s="83">
        <f>G40*((100-Discounts!$B$22)/100)</f>
        <v>15</v>
      </c>
    </row>
    <row r="41" spans="1:8" s="14" customFormat="1" ht="27" customHeight="1" x14ac:dyDescent="0.85">
      <c r="A41" s="18">
        <v>4</v>
      </c>
      <c r="B41" s="18">
        <v>1</v>
      </c>
      <c r="C41" s="18" t="s">
        <v>178</v>
      </c>
      <c r="D41" s="18">
        <v>1.4</v>
      </c>
      <c r="E41" s="18">
        <v>10</v>
      </c>
      <c r="F41" s="20" t="s">
        <v>26</v>
      </c>
      <c r="G41" s="84">
        <v>37.5</v>
      </c>
      <c r="H41" s="84">
        <f>G41*((100-Discounts!$B$22)/100)</f>
        <v>15</v>
      </c>
    </row>
    <row r="42" spans="1:8" s="14" customFormat="1" ht="27" customHeight="1" x14ac:dyDescent="0.85">
      <c r="A42" s="16">
        <v>4</v>
      </c>
      <c r="B42" s="16">
        <v>2</v>
      </c>
      <c r="C42" s="16" t="s">
        <v>178</v>
      </c>
      <c r="D42" s="16">
        <v>1.2</v>
      </c>
      <c r="E42" s="16">
        <v>10</v>
      </c>
      <c r="F42" s="19" t="s">
        <v>731</v>
      </c>
      <c r="G42" s="83">
        <v>43.5</v>
      </c>
      <c r="H42" s="83">
        <f>G42*((100-Discounts!$B$22)/100)</f>
        <v>17.400000000000002</v>
      </c>
    </row>
    <row r="43" spans="1:8" s="14" customFormat="1" ht="27" customHeight="1" x14ac:dyDescent="0.85">
      <c r="A43" s="18">
        <v>4</v>
      </c>
      <c r="B43" s="18">
        <v>2</v>
      </c>
      <c r="C43" s="18" t="s">
        <v>178</v>
      </c>
      <c r="D43" s="18">
        <v>1.4</v>
      </c>
      <c r="E43" s="18">
        <v>10</v>
      </c>
      <c r="F43" s="20" t="s">
        <v>731</v>
      </c>
      <c r="G43" s="84">
        <v>43.5</v>
      </c>
      <c r="H43" s="84">
        <f>G43*((100-Discounts!$B$22)/100)</f>
        <v>17.400000000000002</v>
      </c>
    </row>
    <row r="44" spans="1:8" s="14" customFormat="1" ht="27" customHeight="1" x14ac:dyDescent="0.85">
      <c r="A44" s="16">
        <v>5</v>
      </c>
      <c r="B44" s="16">
        <v>1</v>
      </c>
      <c r="C44" s="16" t="s">
        <v>178</v>
      </c>
      <c r="D44" s="16">
        <v>1.2</v>
      </c>
      <c r="E44" s="16">
        <v>10</v>
      </c>
      <c r="F44" s="19" t="s">
        <v>28</v>
      </c>
      <c r="G44" s="83">
        <v>45.25</v>
      </c>
      <c r="H44" s="83">
        <f>G44*((100-Discounts!$B$22)/100)</f>
        <v>18.100000000000001</v>
      </c>
    </row>
    <row r="45" spans="1:8" s="14" customFormat="1" ht="27" customHeight="1" x14ac:dyDescent="0.85">
      <c r="A45" s="18">
        <v>5</v>
      </c>
      <c r="B45" s="18">
        <v>1</v>
      </c>
      <c r="C45" s="18" t="s">
        <v>178</v>
      </c>
      <c r="D45" s="18">
        <v>1.4</v>
      </c>
      <c r="E45" s="18">
        <v>10</v>
      </c>
      <c r="F45" s="20" t="s">
        <v>28</v>
      </c>
      <c r="G45" s="84">
        <v>45.25</v>
      </c>
      <c r="H45" s="84">
        <f>G45*((100-Discounts!$B$22)/100)</f>
        <v>18.100000000000001</v>
      </c>
    </row>
    <row r="46" spans="1:8" s="14" customFormat="1" ht="27" customHeight="1" x14ac:dyDescent="0.85">
      <c r="A46" s="16">
        <v>5</v>
      </c>
      <c r="B46" s="16">
        <v>2</v>
      </c>
      <c r="C46" s="16" t="s">
        <v>178</v>
      </c>
      <c r="D46" s="16">
        <v>1.4</v>
      </c>
      <c r="E46" s="16">
        <v>10</v>
      </c>
      <c r="F46" s="19" t="s">
        <v>730</v>
      </c>
      <c r="G46" s="83">
        <v>51.25</v>
      </c>
      <c r="H46" s="83">
        <f>G46*((100-Discounts!$B$22)/100)</f>
        <v>20.5</v>
      </c>
    </row>
    <row r="47" spans="1:8" s="14" customFormat="1" ht="27" customHeight="1" x14ac:dyDescent="0.85">
      <c r="A47" s="18">
        <v>6</v>
      </c>
      <c r="B47" s="18">
        <v>2</v>
      </c>
      <c r="C47" s="18" t="s">
        <v>178</v>
      </c>
      <c r="D47" s="18">
        <v>1.4</v>
      </c>
      <c r="E47" s="18">
        <v>10</v>
      </c>
      <c r="F47" s="20" t="s">
        <v>729</v>
      </c>
      <c r="G47" s="84">
        <v>57.75</v>
      </c>
      <c r="H47" s="84">
        <f>G47*((100-Discounts!$B$22)/100)</f>
        <v>23.1</v>
      </c>
    </row>
    <row r="48" spans="1:8" s="14" customFormat="1" ht="27" customHeight="1" x14ac:dyDescent="0.85">
      <c r="A48" s="16">
        <v>8</v>
      </c>
      <c r="B48" s="16">
        <v>2</v>
      </c>
      <c r="C48" s="16" t="s">
        <v>178</v>
      </c>
      <c r="D48" s="16">
        <v>1.4</v>
      </c>
      <c r="E48" s="16">
        <v>5</v>
      </c>
      <c r="F48" s="19" t="s">
        <v>728</v>
      </c>
      <c r="G48" s="83">
        <v>72</v>
      </c>
      <c r="H48" s="83">
        <f>G48*((100-Discounts!$B$22)/100)</f>
        <v>28.8</v>
      </c>
    </row>
    <row r="49" spans="1:11" s="14" customFormat="1" ht="27" customHeight="1" x14ac:dyDescent="0.85">
      <c r="A49" s="18">
        <v>10</v>
      </c>
      <c r="B49" s="18">
        <v>2</v>
      </c>
      <c r="C49" s="18" t="s">
        <v>178</v>
      </c>
      <c r="D49" s="18">
        <v>1.2</v>
      </c>
      <c r="E49" s="18">
        <v>10</v>
      </c>
      <c r="F49" s="20" t="s">
        <v>727</v>
      </c>
      <c r="G49" s="84">
        <v>87.75</v>
      </c>
      <c r="H49" s="84">
        <f>G49*((100-Discounts!$B$22)/100)</f>
        <v>35.1</v>
      </c>
    </row>
    <row r="50" spans="1:11" s="14" customFormat="1" ht="27" customHeight="1" x14ac:dyDescent="0.85">
      <c r="A50" s="16">
        <v>10</v>
      </c>
      <c r="B50" s="16">
        <v>2</v>
      </c>
      <c r="C50" s="16" t="s">
        <v>178</v>
      </c>
      <c r="D50" s="16">
        <v>1.4</v>
      </c>
      <c r="E50" s="16">
        <v>5</v>
      </c>
      <c r="F50" s="19" t="s">
        <v>727</v>
      </c>
      <c r="G50" s="83">
        <v>87.75</v>
      </c>
      <c r="H50" s="83">
        <f>G50*((100-Discounts!$B$22)/100)</f>
        <v>35.1</v>
      </c>
    </row>
    <row r="51" spans="1:11" s="14" customFormat="1" ht="27" customHeight="1" thickBot="1" x14ac:dyDescent="0.9">
      <c r="A51" s="18">
        <v>10</v>
      </c>
      <c r="B51" s="18">
        <v>2</v>
      </c>
      <c r="C51" s="18" t="s">
        <v>178</v>
      </c>
      <c r="D51" s="18">
        <v>1.4</v>
      </c>
      <c r="E51" s="18">
        <v>10</v>
      </c>
      <c r="F51" s="20" t="s">
        <v>727</v>
      </c>
      <c r="G51" s="84">
        <v>87.75</v>
      </c>
      <c r="H51" s="84">
        <f>G51*((100-Discounts!$B$22)/100)</f>
        <v>35.1</v>
      </c>
    </row>
    <row r="52" spans="1:11" s="11" customFormat="1" ht="40.5" customHeight="1" thickTop="1" thickBot="1" x14ac:dyDescent="0.9">
      <c r="A52" s="22" t="s">
        <v>405</v>
      </c>
      <c r="B52" s="23"/>
      <c r="C52" s="23"/>
      <c r="D52" s="23"/>
      <c r="E52" s="23"/>
      <c r="F52" s="124"/>
      <c r="G52" s="118"/>
      <c r="H52" s="1" t="s">
        <v>323</v>
      </c>
      <c r="K52" s="12"/>
    </row>
    <row r="53" spans="1:11" s="24" customFormat="1" ht="54" customHeight="1" thickTop="1" thickBot="1" x14ac:dyDescent="0.9">
      <c r="A53" s="39" t="s">
        <v>320</v>
      </c>
      <c r="B53" s="40" t="s">
        <v>171</v>
      </c>
      <c r="C53" s="40" t="s">
        <v>325</v>
      </c>
      <c r="D53" s="40" t="s">
        <v>321</v>
      </c>
      <c r="E53" s="40" t="s">
        <v>311</v>
      </c>
      <c r="F53" s="126" t="s">
        <v>322</v>
      </c>
      <c r="G53" s="119" t="s">
        <v>179</v>
      </c>
      <c r="H53" s="40" t="s">
        <v>199</v>
      </c>
    </row>
    <row r="54" spans="1:11" s="14" customFormat="1" ht="27" customHeight="1" thickTop="1" x14ac:dyDescent="0.85">
      <c r="A54" s="16">
        <v>10</v>
      </c>
      <c r="B54" s="16" t="s">
        <v>168</v>
      </c>
      <c r="C54" s="16" t="s">
        <v>168</v>
      </c>
      <c r="D54" s="16">
        <v>1</v>
      </c>
      <c r="E54" s="16">
        <v>1</v>
      </c>
      <c r="F54" s="93" t="s">
        <v>396</v>
      </c>
      <c r="G54" s="80">
        <v>75.75</v>
      </c>
      <c r="H54" s="80">
        <f>G54*((100-Discounts!$B$22)/100)</f>
        <v>30.3</v>
      </c>
    </row>
    <row r="55" spans="1:11" s="14" customFormat="1" ht="27" customHeight="1" x14ac:dyDescent="0.85">
      <c r="A55" s="18">
        <v>15</v>
      </c>
      <c r="B55" s="18" t="s">
        <v>168</v>
      </c>
      <c r="C55" s="18" t="s">
        <v>168</v>
      </c>
      <c r="D55" s="18">
        <v>1</v>
      </c>
      <c r="E55" s="18">
        <v>1</v>
      </c>
      <c r="F55" s="94" t="s">
        <v>397</v>
      </c>
      <c r="G55" s="81">
        <v>110.25</v>
      </c>
      <c r="H55" s="81">
        <f>G55*((100-Discounts!$B$22)/100)</f>
        <v>44.1</v>
      </c>
    </row>
    <row r="56" spans="1:11" s="14" customFormat="1" ht="27" customHeight="1" x14ac:dyDescent="0.85">
      <c r="A56" s="16">
        <v>20</v>
      </c>
      <c r="B56" s="16" t="s">
        <v>168</v>
      </c>
      <c r="C56" s="16" t="s">
        <v>168</v>
      </c>
      <c r="D56" s="16">
        <v>1</v>
      </c>
      <c r="E56" s="16">
        <v>1</v>
      </c>
      <c r="F56" s="93" t="s">
        <v>398</v>
      </c>
      <c r="G56" s="80">
        <v>145.75</v>
      </c>
      <c r="H56" s="80">
        <f>G56*((100-Discounts!$B$22)/100)</f>
        <v>58.300000000000004</v>
      </c>
    </row>
    <row r="57" spans="1:11" s="14" customFormat="1" ht="27" customHeight="1" x14ac:dyDescent="0.85">
      <c r="A57" s="18">
        <v>20</v>
      </c>
      <c r="B57" s="18" t="s">
        <v>168</v>
      </c>
      <c r="C57" s="18" t="s">
        <v>168</v>
      </c>
      <c r="D57" s="18">
        <v>1.4</v>
      </c>
      <c r="E57" s="18">
        <v>2</v>
      </c>
      <c r="F57" s="94" t="s">
        <v>34</v>
      </c>
      <c r="G57" s="81">
        <v>141.5</v>
      </c>
      <c r="H57" s="81">
        <f>G57*((100-Discounts!$B$22)/100)</f>
        <v>56.6</v>
      </c>
    </row>
    <row r="58" spans="1:11" s="14" customFormat="1" ht="27" customHeight="1" x14ac:dyDescent="0.85">
      <c r="A58" s="16">
        <v>20</v>
      </c>
      <c r="B58" s="16" t="s">
        <v>168</v>
      </c>
      <c r="C58" s="16" t="s">
        <v>168</v>
      </c>
      <c r="D58" s="16">
        <v>1.5</v>
      </c>
      <c r="E58" s="16">
        <v>1</v>
      </c>
      <c r="F58" s="93" t="s">
        <v>399</v>
      </c>
      <c r="G58" s="80">
        <v>218.75</v>
      </c>
      <c r="H58" s="80">
        <f>G58*((100-Discounts!$B$22)/100)</f>
        <v>87.5</v>
      </c>
    </row>
    <row r="59" spans="1:11" s="14" customFormat="1" ht="27" customHeight="1" x14ac:dyDescent="0.85">
      <c r="A59" s="18">
        <v>25</v>
      </c>
      <c r="B59" s="18" t="s">
        <v>168</v>
      </c>
      <c r="C59" s="18" t="s">
        <v>168</v>
      </c>
      <c r="D59" s="18">
        <v>1</v>
      </c>
      <c r="E59" s="18">
        <v>1</v>
      </c>
      <c r="F59" s="94" t="s">
        <v>400</v>
      </c>
      <c r="G59" s="81">
        <v>182</v>
      </c>
      <c r="H59" s="81">
        <f>G59*((100-Discounts!$B$22)/100)</f>
        <v>72.8</v>
      </c>
    </row>
    <row r="60" spans="1:11" s="14" customFormat="1" ht="27" customHeight="1" x14ac:dyDescent="0.85">
      <c r="A60" s="16">
        <v>25</v>
      </c>
      <c r="B60" s="16" t="s">
        <v>168</v>
      </c>
      <c r="C60" s="16" t="s">
        <v>168</v>
      </c>
      <c r="D60" s="16">
        <v>1.5</v>
      </c>
      <c r="E60" s="16">
        <v>1</v>
      </c>
      <c r="F60" s="93" t="s">
        <v>401</v>
      </c>
      <c r="G60" s="80">
        <v>273</v>
      </c>
      <c r="H60" s="80">
        <f>G60*((100-Discounts!$B$22)/100)</f>
        <v>109.2</v>
      </c>
    </row>
    <row r="61" spans="1:11" s="14" customFormat="1" ht="27" customHeight="1" x14ac:dyDescent="0.85">
      <c r="A61" s="18">
        <v>30</v>
      </c>
      <c r="B61" s="18" t="s">
        <v>168</v>
      </c>
      <c r="C61" s="18" t="s">
        <v>168</v>
      </c>
      <c r="D61" s="18">
        <v>1.4</v>
      </c>
      <c r="E61" s="18">
        <v>2</v>
      </c>
      <c r="F61" s="94" t="s">
        <v>184</v>
      </c>
      <c r="G61" s="81">
        <v>212.25</v>
      </c>
      <c r="H61" s="81">
        <f>G61*((100-Discounts!$B$22)/100)</f>
        <v>84.9</v>
      </c>
    </row>
    <row r="62" spans="1:11" s="14" customFormat="1" ht="27" customHeight="1" x14ac:dyDescent="0.85">
      <c r="A62" s="16">
        <v>30</v>
      </c>
      <c r="B62" s="16" t="s">
        <v>168</v>
      </c>
      <c r="C62" s="16" t="s">
        <v>168</v>
      </c>
      <c r="D62" s="16">
        <v>1.5</v>
      </c>
      <c r="E62" s="16">
        <v>1</v>
      </c>
      <c r="F62" s="93" t="s">
        <v>402</v>
      </c>
      <c r="G62" s="80">
        <v>334.5</v>
      </c>
      <c r="H62" s="80">
        <f>G62*((100-Discounts!$B$22)/100)</f>
        <v>133.80000000000001</v>
      </c>
    </row>
    <row r="63" spans="1:11" s="14" customFormat="1" ht="27" customHeight="1" x14ac:dyDescent="0.85">
      <c r="A63" s="18">
        <v>40</v>
      </c>
      <c r="B63" s="18" t="s">
        <v>168</v>
      </c>
      <c r="C63" s="18" t="s">
        <v>168</v>
      </c>
      <c r="D63" s="18">
        <v>1.4</v>
      </c>
      <c r="E63" s="18">
        <v>2</v>
      </c>
      <c r="F63" s="94" t="s">
        <v>185</v>
      </c>
      <c r="G63" s="81">
        <v>291.25</v>
      </c>
      <c r="H63" s="81">
        <f>G63*((100-Discounts!$B$22)/100)</f>
        <v>116.5</v>
      </c>
    </row>
    <row r="64" spans="1:11" s="14" customFormat="1" ht="27" customHeight="1" thickBot="1" x14ac:dyDescent="0.9">
      <c r="A64" s="16">
        <v>50</v>
      </c>
      <c r="B64" s="16" t="s">
        <v>168</v>
      </c>
      <c r="C64" s="16" t="s">
        <v>168</v>
      </c>
      <c r="D64" s="16">
        <v>1.4</v>
      </c>
      <c r="E64" s="16">
        <v>2</v>
      </c>
      <c r="F64" s="93" t="s">
        <v>186</v>
      </c>
      <c r="G64" s="80">
        <v>364.5</v>
      </c>
      <c r="H64" s="80">
        <f>G64*((100-Discounts!$B$22)/100)</f>
        <v>145.80000000000001</v>
      </c>
    </row>
    <row r="65" spans="1:11" s="11" customFormat="1" ht="40.5" customHeight="1" thickTop="1" thickBot="1" x14ac:dyDescent="0.9">
      <c r="A65" s="22" t="s">
        <v>217</v>
      </c>
      <c r="B65" s="23"/>
      <c r="C65" s="23"/>
      <c r="D65" s="23"/>
      <c r="E65" s="23"/>
      <c r="F65" s="124"/>
      <c r="G65" s="118"/>
      <c r="H65" s="1" t="s">
        <v>323</v>
      </c>
      <c r="K65" s="12"/>
    </row>
    <row r="66" spans="1:11" s="24" customFormat="1" ht="54" customHeight="1" thickTop="1" thickBot="1" x14ac:dyDescent="0.9">
      <c r="A66" s="39" t="s">
        <v>320</v>
      </c>
      <c r="B66" s="40" t="s">
        <v>171</v>
      </c>
      <c r="C66" s="40" t="s">
        <v>325</v>
      </c>
      <c r="D66" s="40" t="s">
        <v>321</v>
      </c>
      <c r="E66" s="40" t="s">
        <v>311</v>
      </c>
      <c r="F66" s="126" t="s">
        <v>322</v>
      </c>
      <c r="G66" s="119" t="s">
        <v>179</v>
      </c>
      <c r="H66" s="40" t="s">
        <v>199</v>
      </c>
    </row>
    <row r="67" spans="1:11" ht="27" customHeight="1" thickTop="1" x14ac:dyDescent="0.85">
      <c r="A67" s="16">
        <v>1</v>
      </c>
      <c r="B67" s="16" t="s">
        <v>168</v>
      </c>
      <c r="C67" s="16" t="s">
        <v>168</v>
      </c>
      <c r="D67" s="16">
        <v>1.4</v>
      </c>
      <c r="E67" s="16">
        <v>20</v>
      </c>
      <c r="F67" s="103" t="s">
        <v>59</v>
      </c>
      <c r="G67" s="108">
        <v>14.5</v>
      </c>
      <c r="H67" s="108">
        <f>G67*((100-Discounts!$B$23)/100)</f>
        <v>6.09</v>
      </c>
    </row>
    <row r="68" spans="1:11" ht="27" customHeight="1" x14ac:dyDescent="0.85">
      <c r="A68" s="18">
        <v>1.5</v>
      </c>
      <c r="B68" s="18" t="s">
        <v>168</v>
      </c>
      <c r="C68" s="18" t="s">
        <v>168</v>
      </c>
      <c r="D68" s="18">
        <v>1.4</v>
      </c>
      <c r="E68" s="18">
        <v>15</v>
      </c>
      <c r="F68" s="98" t="s">
        <v>406</v>
      </c>
      <c r="G68" s="84">
        <v>20.25</v>
      </c>
      <c r="H68" s="84">
        <f>G68*((100-Discounts!$B$23)/100)</f>
        <v>8.504999999999999</v>
      </c>
    </row>
    <row r="69" spans="1:11" ht="27" customHeight="1" x14ac:dyDescent="0.85">
      <c r="A69" s="16">
        <v>2</v>
      </c>
      <c r="B69" s="16" t="s">
        <v>168</v>
      </c>
      <c r="C69" s="16" t="s">
        <v>168</v>
      </c>
      <c r="D69" s="16">
        <v>1.4</v>
      </c>
      <c r="E69" s="16">
        <v>10</v>
      </c>
      <c r="F69" s="97" t="s">
        <v>60</v>
      </c>
      <c r="G69" s="83">
        <v>25</v>
      </c>
      <c r="H69" s="83">
        <f>G69*((100-Discounts!$B$23)/100)</f>
        <v>10.5</v>
      </c>
    </row>
    <row r="70" spans="1:11" ht="27" customHeight="1" x14ac:dyDescent="0.85">
      <c r="A70" s="18">
        <v>3</v>
      </c>
      <c r="B70" s="18" t="s">
        <v>168</v>
      </c>
      <c r="C70" s="18" t="s">
        <v>168</v>
      </c>
      <c r="D70" s="18">
        <v>1.4</v>
      </c>
      <c r="E70" s="18">
        <v>10</v>
      </c>
      <c r="F70" s="98" t="s">
        <v>61</v>
      </c>
      <c r="G70" s="84">
        <v>34.75</v>
      </c>
      <c r="H70" s="84">
        <f>G70*((100-Discounts!$B$23)/100)</f>
        <v>14.594999999999999</v>
      </c>
    </row>
    <row r="71" spans="1:11" ht="27" customHeight="1" x14ac:dyDescent="0.85">
      <c r="A71" s="16">
        <v>4</v>
      </c>
      <c r="B71" s="16" t="s">
        <v>168</v>
      </c>
      <c r="C71" s="16" t="s">
        <v>168</v>
      </c>
      <c r="D71" s="16">
        <v>1.4</v>
      </c>
      <c r="E71" s="16">
        <v>10</v>
      </c>
      <c r="F71" s="97" t="s">
        <v>62</v>
      </c>
      <c r="G71" s="83">
        <v>46.25</v>
      </c>
      <c r="H71" s="83">
        <f>G71*((100-Discounts!$B$23)/100)</f>
        <v>19.425000000000001</v>
      </c>
    </row>
    <row r="72" spans="1:11" ht="27" customHeight="1" x14ac:dyDescent="0.85">
      <c r="A72" s="18">
        <v>5</v>
      </c>
      <c r="B72" s="18" t="s">
        <v>168</v>
      </c>
      <c r="C72" s="18" t="s">
        <v>168</v>
      </c>
      <c r="D72" s="18">
        <v>1.4</v>
      </c>
      <c r="E72" s="18">
        <v>10</v>
      </c>
      <c r="F72" s="98" t="s">
        <v>63</v>
      </c>
      <c r="G72" s="84">
        <v>57</v>
      </c>
      <c r="H72" s="84">
        <f>G72*((100-Discounts!$B$23)/100)</f>
        <v>23.939999999999998</v>
      </c>
    </row>
    <row r="73" spans="1:11" ht="27" customHeight="1" x14ac:dyDescent="0.85">
      <c r="A73" s="16">
        <v>6</v>
      </c>
      <c r="B73" s="16" t="s">
        <v>168</v>
      </c>
      <c r="C73" s="16" t="s">
        <v>168</v>
      </c>
      <c r="D73" s="16">
        <v>1.4</v>
      </c>
      <c r="E73" s="16">
        <v>10</v>
      </c>
      <c r="F73" s="97" t="s">
        <v>64</v>
      </c>
      <c r="G73" s="83">
        <v>67.75</v>
      </c>
      <c r="H73" s="83">
        <f>G73*((100-Discounts!$B$23)/100)</f>
        <v>28.454999999999998</v>
      </c>
    </row>
    <row r="74" spans="1:11" ht="27" customHeight="1" x14ac:dyDescent="0.85">
      <c r="A74" s="18">
        <v>8</v>
      </c>
      <c r="B74" s="18" t="s">
        <v>168</v>
      </c>
      <c r="C74" s="18" t="s">
        <v>168</v>
      </c>
      <c r="D74" s="18">
        <v>1.4</v>
      </c>
      <c r="E74" s="18">
        <v>5</v>
      </c>
      <c r="F74" s="98" t="s">
        <v>65</v>
      </c>
      <c r="G74" s="84">
        <v>89.25</v>
      </c>
      <c r="H74" s="84">
        <f>G74*((100-Discounts!$B$23)/100)</f>
        <v>37.484999999999999</v>
      </c>
    </row>
    <row r="75" spans="1:11" ht="27" customHeight="1" x14ac:dyDescent="0.85">
      <c r="A75" s="16">
        <v>10</v>
      </c>
      <c r="B75" s="16" t="s">
        <v>168</v>
      </c>
      <c r="C75" s="16" t="s">
        <v>168</v>
      </c>
      <c r="D75" s="16">
        <v>1.4</v>
      </c>
      <c r="E75" s="16">
        <v>5</v>
      </c>
      <c r="F75" s="97" t="s">
        <v>407</v>
      </c>
      <c r="G75" s="83">
        <v>110.25</v>
      </c>
      <c r="H75" s="83">
        <f>G75*((100-Discounts!$B$23)/100)</f>
        <v>46.305</v>
      </c>
    </row>
    <row r="76" spans="1:11" ht="27" customHeight="1" thickBot="1" x14ac:dyDescent="0.9">
      <c r="A76" s="18">
        <v>10</v>
      </c>
      <c r="B76" s="18" t="s">
        <v>168</v>
      </c>
      <c r="C76" s="18" t="s">
        <v>168</v>
      </c>
      <c r="D76" s="18">
        <v>1.4</v>
      </c>
      <c r="E76" s="18">
        <v>10</v>
      </c>
      <c r="F76" s="98" t="s">
        <v>66</v>
      </c>
      <c r="G76" s="84">
        <v>110.25</v>
      </c>
      <c r="H76" s="84">
        <f>G76*((100-Discounts!$B$23)/100)</f>
        <v>46.305</v>
      </c>
    </row>
    <row r="77" spans="1:11" s="11" customFormat="1" ht="40.5" customHeight="1" thickTop="1" thickBot="1" x14ac:dyDescent="0.9">
      <c r="A77" s="22" t="s">
        <v>218</v>
      </c>
      <c r="B77" s="23"/>
      <c r="C77" s="23"/>
      <c r="D77" s="23"/>
      <c r="E77" s="23"/>
      <c r="F77" s="124"/>
      <c r="G77" s="118"/>
      <c r="H77" s="1" t="s">
        <v>323</v>
      </c>
      <c r="K77" s="12"/>
    </row>
    <row r="78" spans="1:11" s="24" customFormat="1" ht="54" customHeight="1" thickTop="1" thickBot="1" x14ac:dyDescent="0.9">
      <c r="A78" s="39" t="s">
        <v>320</v>
      </c>
      <c r="B78" s="40" t="s">
        <v>171</v>
      </c>
      <c r="C78" s="40" t="s">
        <v>325</v>
      </c>
      <c r="D78" s="40" t="s">
        <v>321</v>
      </c>
      <c r="E78" s="40" t="s">
        <v>311</v>
      </c>
      <c r="F78" s="126" t="s">
        <v>322</v>
      </c>
      <c r="G78" s="119" t="s">
        <v>179</v>
      </c>
      <c r="H78" s="40" t="s">
        <v>199</v>
      </c>
    </row>
    <row r="79" spans="1:11" ht="27" customHeight="1" thickTop="1" x14ac:dyDescent="0.85">
      <c r="A79" s="16">
        <v>1</v>
      </c>
      <c r="B79" s="16" t="s">
        <v>168</v>
      </c>
      <c r="C79" s="16" t="s">
        <v>168</v>
      </c>
      <c r="D79" s="16">
        <v>1.4</v>
      </c>
      <c r="E79" s="16">
        <v>20</v>
      </c>
      <c r="F79" s="19" t="s">
        <v>58</v>
      </c>
      <c r="G79" s="108">
        <v>28.5</v>
      </c>
      <c r="H79" s="108">
        <f>G79*((100-Discounts!$B$24)/100)</f>
        <v>11.969999999999999</v>
      </c>
    </row>
    <row r="80" spans="1:11" ht="27" customHeight="1" x14ac:dyDescent="0.85">
      <c r="A80" s="18">
        <v>2</v>
      </c>
      <c r="B80" s="18" t="s">
        <v>168</v>
      </c>
      <c r="C80" s="18" t="s">
        <v>168</v>
      </c>
      <c r="D80" s="18">
        <v>1.4</v>
      </c>
      <c r="E80" s="18">
        <v>10</v>
      </c>
      <c r="F80" s="20" t="s">
        <v>408</v>
      </c>
      <c r="G80" s="84">
        <v>51.25</v>
      </c>
      <c r="H80" s="84">
        <f>G80*((100-Discounts!$B$24)/100)</f>
        <v>21.524999999999999</v>
      </c>
    </row>
    <row r="81" spans="1:11" ht="27" customHeight="1" x14ac:dyDescent="0.85">
      <c r="A81" s="16">
        <v>3</v>
      </c>
      <c r="B81" s="16" t="s">
        <v>168</v>
      </c>
      <c r="C81" s="16" t="s">
        <v>168</v>
      </c>
      <c r="D81" s="16">
        <v>1.4</v>
      </c>
      <c r="E81" s="16">
        <v>10</v>
      </c>
      <c r="F81" s="19" t="s">
        <v>409</v>
      </c>
      <c r="G81" s="83">
        <v>73.25</v>
      </c>
      <c r="H81" s="83">
        <f>G81*((100-Discounts!$B$24)/100)</f>
        <v>30.765000000000001</v>
      </c>
    </row>
    <row r="82" spans="1:11" ht="27" customHeight="1" x14ac:dyDescent="0.85">
      <c r="A82" s="18">
        <v>4</v>
      </c>
      <c r="B82" s="18" t="s">
        <v>168</v>
      </c>
      <c r="C82" s="18" t="s">
        <v>168</v>
      </c>
      <c r="D82" s="18">
        <v>1.4</v>
      </c>
      <c r="E82" s="18">
        <v>10</v>
      </c>
      <c r="F82" s="20" t="s">
        <v>410</v>
      </c>
      <c r="G82" s="84">
        <v>97.75</v>
      </c>
      <c r="H82" s="84">
        <f>G82*((100-Discounts!$B$24)/100)</f>
        <v>41.055</v>
      </c>
    </row>
    <row r="83" spans="1:11" ht="27" customHeight="1" x14ac:dyDescent="0.85">
      <c r="A83" s="16">
        <v>5</v>
      </c>
      <c r="B83" s="16" t="s">
        <v>168</v>
      </c>
      <c r="C83" s="16" t="s">
        <v>168</v>
      </c>
      <c r="D83" s="16">
        <v>1.4</v>
      </c>
      <c r="E83" s="16">
        <v>10</v>
      </c>
      <c r="F83" s="19" t="s">
        <v>411</v>
      </c>
      <c r="G83" s="83">
        <v>120</v>
      </c>
      <c r="H83" s="83">
        <f>G83*((100-Discounts!$B$24)/100)</f>
        <v>50.4</v>
      </c>
    </row>
    <row r="84" spans="1:11" ht="27" customHeight="1" x14ac:dyDescent="0.85">
      <c r="A84" s="18">
        <v>6</v>
      </c>
      <c r="B84" s="18" t="s">
        <v>168</v>
      </c>
      <c r="C84" s="18" t="s">
        <v>168</v>
      </c>
      <c r="D84" s="18">
        <v>1.4</v>
      </c>
      <c r="E84" s="18">
        <v>10</v>
      </c>
      <c r="F84" s="20" t="s">
        <v>412</v>
      </c>
      <c r="G84" s="84">
        <v>144</v>
      </c>
      <c r="H84" s="84">
        <f>G84*((100-Discounts!$B$24)/100)</f>
        <v>60.48</v>
      </c>
    </row>
    <row r="85" spans="1:11" ht="27" customHeight="1" x14ac:dyDescent="0.85">
      <c r="A85" s="16">
        <v>8</v>
      </c>
      <c r="B85" s="16" t="s">
        <v>168</v>
      </c>
      <c r="C85" s="16" t="s">
        <v>168</v>
      </c>
      <c r="D85" s="16">
        <v>1.4</v>
      </c>
      <c r="E85" s="16">
        <v>5</v>
      </c>
      <c r="F85" s="19" t="s">
        <v>131</v>
      </c>
      <c r="G85" s="83">
        <v>189</v>
      </c>
      <c r="H85" s="83">
        <f>G85*((100-Discounts!$B$24)/100)</f>
        <v>79.38</v>
      </c>
    </row>
    <row r="86" spans="1:11" ht="27" customHeight="1" x14ac:dyDescent="0.85">
      <c r="A86" s="18">
        <v>8</v>
      </c>
      <c r="B86" s="18" t="s">
        <v>168</v>
      </c>
      <c r="C86" s="18" t="s">
        <v>168</v>
      </c>
      <c r="D86" s="18">
        <v>1.4</v>
      </c>
      <c r="E86" s="18">
        <v>10</v>
      </c>
      <c r="F86" s="20" t="s">
        <v>131</v>
      </c>
      <c r="G86" s="84">
        <v>189</v>
      </c>
      <c r="H86" s="84">
        <f>G86*((100-Discounts!$B$24)/100)</f>
        <v>79.38</v>
      </c>
    </row>
    <row r="87" spans="1:11" ht="27" customHeight="1" x14ac:dyDescent="0.85">
      <c r="A87" s="16">
        <v>10</v>
      </c>
      <c r="B87" s="16" t="s">
        <v>168</v>
      </c>
      <c r="C87" s="16" t="s">
        <v>168</v>
      </c>
      <c r="D87" s="16">
        <v>1.4</v>
      </c>
      <c r="E87" s="16">
        <v>5</v>
      </c>
      <c r="F87" s="19" t="s">
        <v>132</v>
      </c>
      <c r="G87" s="83">
        <v>232.25</v>
      </c>
      <c r="H87" s="83">
        <f>G87*((100-Discounts!$B$24)/100)</f>
        <v>97.545000000000002</v>
      </c>
    </row>
    <row r="88" spans="1:11" ht="27" customHeight="1" thickBot="1" x14ac:dyDescent="0.9">
      <c r="A88" s="18">
        <v>10</v>
      </c>
      <c r="B88" s="18" t="s">
        <v>168</v>
      </c>
      <c r="C88" s="18" t="s">
        <v>168</v>
      </c>
      <c r="D88" s="18">
        <v>1.4</v>
      </c>
      <c r="E88" s="18">
        <v>10</v>
      </c>
      <c r="F88" s="20" t="s">
        <v>132</v>
      </c>
      <c r="G88" s="84">
        <v>232.25</v>
      </c>
      <c r="H88" s="84">
        <f>G88*((100-Discounts!$B$24)/100)</f>
        <v>97.545000000000002</v>
      </c>
    </row>
    <row r="89" spans="1:11" s="11" customFormat="1" ht="40.5" customHeight="1" thickTop="1" thickBot="1" x14ac:dyDescent="0.9">
      <c r="A89" s="22" t="s">
        <v>219</v>
      </c>
      <c r="B89" s="23"/>
      <c r="C89" s="23"/>
      <c r="D89" s="23"/>
      <c r="E89" s="23"/>
      <c r="F89" s="124"/>
      <c r="G89" s="118"/>
      <c r="H89" s="1" t="s">
        <v>323</v>
      </c>
      <c r="K89" s="12"/>
    </row>
    <row r="90" spans="1:11" s="24" customFormat="1" ht="54" customHeight="1" thickTop="1" thickBot="1" x14ac:dyDescent="0.9">
      <c r="A90" s="39" t="s">
        <v>320</v>
      </c>
      <c r="B90" s="40" t="s">
        <v>171</v>
      </c>
      <c r="C90" s="40" t="s">
        <v>325</v>
      </c>
      <c r="D90" s="40" t="s">
        <v>321</v>
      </c>
      <c r="E90" s="40" t="s">
        <v>311</v>
      </c>
      <c r="F90" s="126" t="s">
        <v>322</v>
      </c>
      <c r="G90" s="119" t="s">
        <v>179</v>
      </c>
      <c r="H90" s="40" t="s">
        <v>199</v>
      </c>
    </row>
    <row r="91" spans="1:11" ht="27" customHeight="1" thickTop="1" x14ac:dyDescent="0.85">
      <c r="A91" s="16">
        <v>1</v>
      </c>
      <c r="B91" s="16" t="s">
        <v>168</v>
      </c>
      <c r="C91" s="16" t="s">
        <v>168</v>
      </c>
      <c r="D91" s="16">
        <v>1.4</v>
      </c>
      <c r="E91" s="16">
        <v>10</v>
      </c>
      <c r="F91" s="19" t="s">
        <v>318</v>
      </c>
      <c r="G91" s="83">
        <v>11.5</v>
      </c>
      <c r="H91" s="83">
        <f>G91*((100-Discounts!$B$25)/100)</f>
        <v>4.83</v>
      </c>
    </row>
    <row r="92" spans="1:11" ht="27" customHeight="1" x14ac:dyDescent="0.85">
      <c r="A92" s="18">
        <v>2</v>
      </c>
      <c r="B92" s="18" t="s">
        <v>168</v>
      </c>
      <c r="C92" s="18" t="s">
        <v>168</v>
      </c>
      <c r="D92" s="18">
        <v>1.4</v>
      </c>
      <c r="E92" s="18">
        <v>10</v>
      </c>
      <c r="F92" s="20" t="s">
        <v>95</v>
      </c>
      <c r="G92" s="84">
        <v>19.5</v>
      </c>
      <c r="H92" s="84">
        <f>G92*((100-Discounts!$B$25)/100)</f>
        <v>8.19</v>
      </c>
    </row>
    <row r="93" spans="1:11" ht="27" customHeight="1" x14ac:dyDescent="0.85">
      <c r="A93" s="16">
        <v>2.5</v>
      </c>
      <c r="B93" s="16" t="s">
        <v>168</v>
      </c>
      <c r="C93" s="16" t="s">
        <v>168</v>
      </c>
      <c r="D93" s="16">
        <v>1.4</v>
      </c>
      <c r="E93" s="16">
        <v>10</v>
      </c>
      <c r="F93" s="19" t="s">
        <v>413</v>
      </c>
      <c r="G93" s="83">
        <v>24.753000000000004</v>
      </c>
      <c r="H93" s="83">
        <f>G93*((100-Discounts!$B$25)/100)</f>
        <v>10.396260000000002</v>
      </c>
    </row>
    <row r="94" spans="1:11" ht="27" customHeight="1" x14ac:dyDescent="0.85">
      <c r="A94" s="18">
        <v>3</v>
      </c>
      <c r="B94" s="18" t="s">
        <v>168</v>
      </c>
      <c r="C94" s="18" t="s">
        <v>168</v>
      </c>
      <c r="D94" s="18">
        <v>1.4</v>
      </c>
      <c r="E94" s="18">
        <v>10</v>
      </c>
      <c r="F94" s="20" t="s">
        <v>96</v>
      </c>
      <c r="G94" s="84">
        <v>27.5</v>
      </c>
      <c r="H94" s="84">
        <f>G94*((100-Discounts!$B$25)/100)</f>
        <v>11.549999999999999</v>
      </c>
    </row>
    <row r="95" spans="1:11" ht="27" customHeight="1" x14ac:dyDescent="0.85">
      <c r="A95" s="16">
        <v>4</v>
      </c>
      <c r="B95" s="16" t="s">
        <v>168</v>
      </c>
      <c r="C95" s="16" t="s">
        <v>168</v>
      </c>
      <c r="D95" s="16">
        <v>1.4</v>
      </c>
      <c r="E95" s="16">
        <v>10</v>
      </c>
      <c r="F95" s="19" t="s">
        <v>97</v>
      </c>
      <c r="G95" s="83">
        <v>36.75</v>
      </c>
      <c r="H95" s="83">
        <f>G95*((100-Discounts!$B$25)/100)</f>
        <v>15.434999999999999</v>
      </c>
    </row>
    <row r="96" spans="1:11" ht="27" customHeight="1" x14ac:dyDescent="0.85">
      <c r="A96" s="18">
        <v>5</v>
      </c>
      <c r="B96" s="18" t="s">
        <v>168</v>
      </c>
      <c r="C96" s="18" t="s">
        <v>168</v>
      </c>
      <c r="D96" s="18">
        <v>1.4</v>
      </c>
      <c r="E96" s="18">
        <v>10</v>
      </c>
      <c r="F96" s="20" t="s">
        <v>98</v>
      </c>
      <c r="G96" s="84">
        <v>44.75</v>
      </c>
      <c r="H96" s="84">
        <f>G96*((100-Discounts!$B$25)/100)</f>
        <v>18.794999999999998</v>
      </c>
    </row>
    <row r="97" spans="1:8" ht="27" customHeight="1" x14ac:dyDescent="0.85">
      <c r="A97" s="16">
        <v>6</v>
      </c>
      <c r="B97" s="16" t="s">
        <v>168</v>
      </c>
      <c r="C97" s="16" t="s">
        <v>168</v>
      </c>
      <c r="D97" s="16">
        <v>1.4</v>
      </c>
      <c r="E97" s="16">
        <v>10</v>
      </c>
      <c r="F97" s="19" t="s">
        <v>99</v>
      </c>
      <c r="G97" s="83">
        <v>52.75</v>
      </c>
      <c r="H97" s="83">
        <f>G97*((100-Discounts!$B$25)/100)</f>
        <v>22.154999999999998</v>
      </c>
    </row>
    <row r="98" spans="1:8" ht="27" customHeight="1" x14ac:dyDescent="0.85">
      <c r="A98" s="18">
        <v>8</v>
      </c>
      <c r="B98" s="18" t="s">
        <v>168</v>
      </c>
      <c r="C98" s="18" t="s">
        <v>168</v>
      </c>
      <c r="D98" s="18">
        <v>1.4</v>
      </c>
      <c r="E98" s="18">
        <v>5</v>
      </c>
      <c r="F98" s="20" t="s">
        <v>100</v>
      </c>
      <c r="G98" s="84">
        <v>69.25</v>
      </c>
      <c r="H98" s="84">
        <f>G98*((100-Discounts!$B$25)/100)</f>
        <v>29.084999999999997</v>
      </c>
    </row>
    <row r="99" spans="1:8" ht="27" customHeight="1" x14ac:dyDescent="0.85">
      <c r="A99" s="16">
        <v>10</v>
      </c>
      <c r="B99" s="16" t="s">
        <v>168</v>
      </c>
      <c r="C99" s="16" t="s">
        <v>168</v>
      </c>
      <c r="D99" s="16">
        <v>1.4</v>
      </c>
      <c r="E99" s="16">
        <v>5</v>
      </c>
      <c r="F99" s="19" t="s">
        <v>101</v>
      </c>
      <c r="G99" s="83">
        <v>85.25</v>
      </c>
      <c r="H99" s="83">
        <f>G99*((100-Discounts!$B$25)/100)</f>
        <v>35.805</v>
      </c>
    </row>
    <row r="100" spans="1:8" ht="27" customHeight="1" x14ac:dyDescent="0.85">
      <c r="A100" s="18">
        <v>12</v>
      </c>
      <c r="B100" s="18" t="s">
        <v>168</v>
      </c>
      <c r="C100" s="18" t="s">
        <v>168</v>
      </c>
      <c r="D100" s="18">
        <v>1.4</v>
      </c>
      <c r="E100" s="18">
        <v>5</v>
      </c>
      <c r="F100" s="20" t="s">
        <v>414</v>
      </c>
      <c r="G100" s="84">
        <v>101.25</v>
      </c>
      <c r="H100" s="84">
        <f>G100*((100-Discounts!$B$25)/100)</f>
        <v>42.524999999999999</v>
      </c>
    </row>
    <row r="101" spans="1:8" ht="27" customHeight="1" x14ac:dyDescent="0.85">
      <c r="A101" s="16">
        <v>20</v>
      </c>
      <c r="B101" s="16" t="s">
        <v>168</v>
      </c>
      <c r="C101" s="16" t="s">
        <v>168</v>
      </c>
      <c r="D101" s="16">
        <v>1.4</v>
      </c>
      <c r="E101" s="16">
        <v>5</v>
      </c>
      <c r="F101" s="19" t="s">
        <v>415</v>
      </c>
      <c r="G101" s="83">
        <v>161.55000000000001</v>
      </c>
      <c r="H101" s="83">
        <f>G101*((100-Discounts!$B$25)/100)</f>
        <v>67.850999999999999</v>
      </c>
    </row>
  </sheetData>
  <hyperlinks>
    <hyperlink ref="A1:D1" r:id="rId1" display="NBR Rubber sheets" xr:uid="{D1603C64-9CC9-4DDB-9B60-2BBCEB12FC2B}"/>
    <hyperlink ref="H2" r:id="rId2" xr:uid="{1ECDD0D1-AE53-4693-BC2D-3A40587BB0B3}"/>
    <hyperlink ref="A2" r:id="rId3" display="Satyr Eco" xr:uid="{94D70C85-7CDE-4AD7-A695-D427CC3A588F}"/>
    <hyperlink ref="H30" r:id="rId4" xr:uid="{B85FD940-51E3-46FD-A288-0A78464EAA3A}"/>
    <hyperlink ref="A30" r:id="rId5" display="Satyr Eco with insertion(s)" xr:uid="{E22FE562-33FC-4B13-A0AA-4B18942EF95F}"/>
    <hyperlink ref="H52" r:id="rId6" xr:uid="{ADC9A9A6-23E6-435F-937A-C627DAD94FA9}"/>
    <hyperlink ref="A52" r:id="rId7" display="Satyr Eco flat sheets" xr:uid="{D4CC84BA-9C89-4792-9797-A7DF83C158C4}"/>
    <hyperlink ref="H65" r:id="rId8" xr:uid="{63E76240-39D5-4B29-8EC1-8522D26E14F9}"/>
    <hyperlink ref="A65" r:id="rId9" xr:uid="{5A65E12C-4A4A-4D5E-806C-45777F2F50A4}"/>
    <hyperlink ref="H77" r:id="rId10" xr:uid="{B191A35D-FAC0-4643-BAAB-5431F7730705}"/>
    <hyperlink ref="A77" r:id="rId11" xr:uid="{8C956C66-D9BD-4BCF-9636-4347ECFE16AD}"/>
    <hyperlink ref="H89" r:id="rId12" xr:uid="{6DB1EEAF-59B9-4A5E-815B-42D1332DD252}"/>
    <hyperlink ref="A89" r:id="rId13" xr:uid="{C2B91E89-80D0-47A0-94F7-EA2E9DF57CB7}"/>
  </hyperlinks>
  <pageMargins left="0.51181102362204722" right="0.51181102362204722" top="0.35433070866141736" bottom="0.35433070866141736" header="0.11811023622047245" footer="0.11811023622047245"/>
  <pageSetup paperSize="9" scale="75" fitToHeight="0" orientation="landscape" r:id="rId14"/>
  <headerFooter>
    <oddFooter>&amp;R&amp;P van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F4E55"/>
    <pageSetUpPr fitToPage="1"/>
  </sheetPr>
  <dimension ref="A1:AA114"/>
  <sheetViews>
    <sheetView topLeftCell="A103" zoomScale="70" zoomScaleNormal="70" workbookViewId="0">
      <selection sqref="A1:F114"/>
    </sheetView>
  </sheetViews>
  <sheetFormatPr defaultColWidth="8.6640625" defaultRowHeight="27" customHeight="1" x14ac:dyDescent="0.85"/>
  <cols>
    <col min="1" max="3" width="16.5546875" style="3" customWidth="1"/>
    <col min="4" max="4" width="20.5546875" style="122" customWidth="1"/>
    <col min="5" max="5" width="20.5546875" style="116" customWidth="1"/>
    <col min="6" max="6" width="20.5546875" style="130" customWidth="1"/>
    <col min="7" max="16384" width="8.6640625" style="3"/>
  </cols>
  <sheetData>
    <row r="1" spans="1:12" s="11" customFormat="1" ht="40.5" customHeight="1" thickBot="1" x14ac:dyDescent="0.9">
      <c r="A1" s="214" t="s">
        <v>418</v>
      </c>
      <c r="B1" s="214"/>
      <c r="C1" s="193"/>
      <c r="D1" s="194"/>
      <c r="E1" s="195"/>
      <c r="F1" s="196"/>
      <c r="J1" s="12"/>
    </row>
    <row r="2" spans="1:12" s="11" customFormat="1" ht="40.5" customHeight="1" thickTop="1" thickBot="1" x14ac:dyDescent="0.9">
      <c r="A2" s="175" t="s">
        <v>220</v>
      </c>
      <c r="B2" s="176"/>
      <c r="C2" s="176"/>
      <c r="D2" s="186"/>
      <c r="E2" s="177"/>
      <c r="F2" s="187" t="s">
        <v>323</v>
      </c>
      <c r="H2" s="13"/>
      <c r="L2" s="12"/>
    </row>
    <row r="3" spans="1:12" s="24" customFormat="1" ht="54" customHeight="1" thickTop="1" thickBot="1" x14ac:dyDescent="0.9">
      <c r="A3" s="188" t="s">
        <v>320</v>
      </c>
      <c r="B3" s="189" t="s">
        <v>321</v>
      </c>
      <c r="C3" s="189" t="s">
        <v>311</v>
      </c>
      <c r="D3" s="190" t="s">
        <v>322</v>
      </c>
      <c r="E3" s="191" t="s">
        <v>179</v>
      </c>
      <c r="F3" s="192" t="s">
        <v>199</v>
      </c>
    </row>
    <row r="4" spans="1:12" ht="27" customHeight="1" thickTop="1" x14ac:dyDescent="0.85">
      <c r="A4" s="15">
        <v>1</v>
      </c>
      <c r="B4" s="15">
        <v>1.4</v>
      </c>
      <c r="C4" s="15">
        <v>20</v>
      </c>
      <c r="D4" s="120" t="s">
        <v>136</v>
      </c>
      <c r="E4" s="108">
        <v>19.5</v>
      </c>
      <c r="F4" s="108">
        <f>E4*((100-Discounts!$B$27)/100)</f>
        <v>6.8249999999999993</v>
      </c>
    </row>
    <row r="5" spans="1:12" ht="27" customHeight="1" x14ac:dyDescent="0.85">
      <c r="A5" s="17">
        <v>1.5</v>
      </c>
      <c r="B5" s="17">
        <v>1.4</v>
      </c>
      <c r="C5" s="17">
        <v>15</v>
      </c>
      <c r="D5" s="121" t="s">
        <v>137</v>
      </c>
      <c r="E5" s="84">
        <v>28</v>
      </c>
      <c r="F5" s="84">
        <f>E5*((100-Discounts!$B$27)/100)</f>
        <v>9.7999999999999989</v>
      </c>
    </row>
    <row r="6" spans="1:12" ht="27" customHeight="1" x14ac:dyDescent="0.85">
      <c r="A6" s="15">
        <v>2</v>
      </c>
      <c r="B6" s="15">
        <v>1.4</v>
      </c>
      <c r="C6" s="15">
        <v>10</v>
      </c>
      <c r="D6" s="120" t="s">
        <v>138</v>
      </c>
      <c r="E6" s="83">
        <v>36.25</v>
      </c>
      <c r="F6" s="83">
        <f>E6*((100-Discounts!$B$27)/100)</f>
        <v>12.6875</v>
      </c>
    </row>
    <row r="7" spans="1:12" ht="27" customHeight="1" x14ac:dyDescent="0.85">
      <c r="A7" s="17">
        <v>3</v>
      </c>
      <c r="B7" s="17">
        <v>1.4</v>
      </c>
      <c r="C7" s="17">
        <v>10</v>
      </c>
      <c r="D7" s="121" t="s">
        <v>139</v>
      </c>
      <c r="E7" s="84">
        <v>53.75</v>
      </c>
      <c r="F7" s="84">
        <f>E7*((100-Discounts!$B$27)/100)</f>
        <v>18.8125</v>
      </c>
    </row>
    <row r="8" spans="1:12" ht="27" customHeight="1" x14ac:dyDescent="0.85">
      <c r="A8" s="15">
        <v>4</v>
      </c>
      <c r="B8" s="15">
        <v>1.4</v>
      </c>
      <c r="C8" s="15">
        <v>10</v>
      </c>
      <c r="D8" s="120" t="s">
        <v>140</v>
      </c>
      <c r="E8" s="83">
        <v>71.25</v>
      </c>
      <c r="F8" s="83">
        <f>E8*((100-Discounts!$B$27)/100)</f>
        <v>24.9375</v>
      </c>
    </row>
    <row r="9" spans="1:12" ht="27" customHeight="1" x14ac:dyDescent="0.85">
      <c r="A9" s="17">
        <v>5</v>
      </c>
      <c r="B9" s="17">
        <v>1.4</v>
      </c>
      <c r="C9" s="17">
        <v>10</v>
      </c>
      <c r="D9" s="121" t="s">
        <v>141</v>
      </c>
      <c r="E9" s="84">
        <v>89.25</v>
      </c>
      <c r="F9" s="84">
        <f>E9*((100-Discounts!$B$27)/100)</f>
        <v>31.237499999999997</v>
      </c>
    </row>
    <row r="10" spans="1:12" ht="27" customHeight="1" x14ac:dyDescent="0.85">
      <c r="A10" s="15">
        <v>6</v>
      </c>
      <c r="B10" s="15">
        <v>1.4</v>
      </c>
      <c r="C10" s="15">
        <v>10</v>
      </c>
      <c r="D10" s="120" t="s">
        <v>142</v>
      </c>
      <c r="E10" s="83">
        <v>105.5</v>
      </c>
      <c r="F10" s="83">
        <f>E10*((100-Discounts!$B$27)/100)</f>
        <v>36.924999999999997</v>
      </c>
    </row>
    <row r="11" spans="1:12" ht="27" customHeight="1" x14ac:dyDescent="0.85">
      <c r="A11" s="17">
        <v>8</v>
      </c>
      <c r="B11" s="17">
        <v>1.4</v>
      </c>
      <c r="C11" s="17">
        <v>5</v>
      </c>
      <c r="D11" s="121" t="s">
        <v>143</v>
      </c>
      <c r="E11" s="84">
        <v>140.5</v>
      </c>
      <c r="F11" s="84">
        <f>E11*((100-Discounts!$B$27)/100)</f>
        <v>49.174999999999997</v>
      </c>
    </row>
    <row r="12" spans="1:12" ht="27" customHeight="1" x14ac:dyDescent="0.85">
      <c r="A12" s="15">
        <v>8</v>
      </c>
      <c r="B12" s="15">
        <v>1.4</v>
      </c>
      <c r="C12" s="15">
        <v>5</v>
      </c>
      <c r="D12" s="120" t="s">
        <v>143</v>
      </c>
      <c r="E12" s="83">
        <v>140.5</v>
      </c>
      <c r="F12" s="83">
        <f>E12*((100-Discounts!$B$27)/100)</f>
        <v>49.174999999999997</v>
      </c>
    </row>
    <row r="13" spans="1:12" ht="27" customHeight="1" x14ac:dyDescent="0.85">
      <c r="A13" s="17">
        <v>10</v>
      </c>
      <c r="B13" s="17">
        <v>1.4</v>
      </c>
      <c r="C13" s="17">
        <v>5</v>
      </c>
      <c r="D13" s="121" t="s">
        <v>144</v>
      </c>
      <c r="E13" s="84">
        <v>172.5</v>
      </c>
      <c r="F13" s="84">
        <f>E13*((100-Discounts!$B$27)/100)</f>
        <v>60.374999999999993</v>
      </c>
    </row>
    <row r="14" spans="1:12" ht="27" customHeight="1" x14ac:dyDescent="0.85">
      <c r="A14" s="15">
        <v>10</v>
      </c>
      <c r="B14" s="15">
        <v>1.4</v>
      </c>
      <c r="C14" s="15">
        <v>5</v>
      </c>
      <c r="D14" s="120" t="s">
        <v>144</v>
      </c>
      <c r="E14" s="83">
        <v>172.5</v>
      </c>
      <c r="F14" s="83">
        <f>E14*((100-Discounts!$B$27)/100)</f>
        <v>60.374999999999993</v>
      </c>
    </row>
    <row r="15" spans="1:12" ht="27" customHeight="1" x14ac:dyDescent="0.85">
      <c r="A15" s="17">
        <v>12</v>
      </c>
      <c r="B15" s="17">
        <v>1.4</v>
      </c>
      <c r="C15" s="17">
        <v>5</v>
      </c>
      <c r="D15" s="121" t="s">
        <v>145</v>
      </c>
      <c r="E15" s="84">
        <v>207</v>
      </c>
      <c r="F15" s="84">
        <f>E15*((100-Discounts!$B$27)/100)</f>
        <v>72.449999999999989</v>
      </c>
    </row>
    <row r="16" spans="1:12" ht="27" customHeight="1" x14ac:dyDescent="0.85">
      <c r="A16" s="15">
        <v>15</v>
      </c>
      <c r="B16" s="15">
        <v>1.4</v>
      </c>
      <c r="C16" s="15">
        <v>5</v>
      </c>
      <c r="D16" s="120" t="s">
        <v>146</v>
      </c>
      <c r="E16" s="83">
        <v>254.5</v>
      </c>
      <c r="F16" s="83">
        <f>E16*((100-Discounts!$B$27)/100)</f>
        <v>89.074999999999989</v>
      </c>
    </row>
    <row r="17" spans="1:12" ht="27" customHeight="1" thickBot="1" x14ac:dyDescent="0.9">
      <c r="A17" s="17">
        <v>20</v>
      </c>
      <c r="B17" s="17">
        <v>1.4</v>
      </c>
      <c r="C17" s="17">
        <v>5</v>
      </c>
      <c r="D17" s="121" t="s">
        <v>147</v>
      </c>
      <c r="E17" s="84">
        <v>339.25</v>
      </c>
      <c r="F17" s="84">
        <f>E17*((100-Discounts!$B$27)/100)</f>
        <v>118.7375</v>
      </c>
    </row>
    <row r="18" spans="1:12" s="11" customFormat="1" ht="40.5" customHeight="1" thickTop="1" thickBot="1" x14ac:dyDescent="0.9">
      <c r="A18" s="175" t="s">
        <v>221</v>
      </c>
      <c r="B18" s="176"/>
      <c r="C18" s="176"/>
      <c r="D18" s="186"/>
      <c r="E18" s="177"/>
      <c r="F18" s="187" t="s">
        <v>323</v>
      </c>
      <c r="H18" s="13"/>
      <c r="L18" s="12"/>
    </row>
    <row r="19" spans="1:12" s="24" customFormat="1" ht="54" customHeight="1" thickTop="1" thickBot="1" x14ac:dyDescent="0.9">
      <c r="A19" s="188" t="s">
        <v>320</v>
      </c>
      <c r="B19" s="189" t="s">
        <v>321</v>
      </c>
      <c r="C19" s="189" t="s">
        <v>311</v>
      </c>
      <c r="D19" s="190" t="s">
        <v>322</v>
      </c>
      <c r="E19" s="191" t="s">
        <v>179</v>
      </c>
      <c r="F19" s="192" t="s">
        <v>199</v>
      </c>
    </row>
    <row r="20" spans="1:12" ht="27" customHeight="1" thickTop="1" x14ac:dyDescent="0.85">
      <c r="A20" s="16">
        <v>1.5</v>
      </c>
      <c r="B20" s="16">
        <v>1.4</v>
      </c>
      <c r="C20" s="16">
        <v>15</v>
      </c>
      <c r="D20" s="19" t="s">
        <v>182</v>
      </c>
      <c r="E20" s="83">
        <v>28</v>
      </c>
      <c r="F20" s="83">
        <f>E20*((100-Discounts!$B$28)/100)</f>
        <v>9.7999999999999989</v>
      </c>
    </row>
    <row r="21" spans="1:12" ht="27" customHeight="1" x14ac:dyDescent="0.85">
      <c r="A21" s="18">
        <v>2</v>
      </c>
      <c r="B21" s="18">
        <v>1.4</v>
      </c>
      <c r="C21" s="18">
        <v>10</v>
      </c>
      <c r="D21" s="20" t="s">
        <v>148</v>
      </c>
      <c r="E21" s="84">
        <v>36.25</v>
      </c>
      <c r="F21" s="84">
        <f>E21*((100-Discounts!$B$28)/100)</f>
        <v>12.6875</v>
      </c>
    </row>
    <row r="22" spans="1:12" ht="27" customHeight="1" x14ac:dyDescent="0.85">
      <c r="A22" s="16">
        <v>3</v>
      </c>
      <c r="B22" s="16">
        <v>1.4</v>
      </c>
      <c r="C22" s="16">
        <v>10</v>
      </c>
      <c r="D22" s="19" t="s">
        <v>149</v>
      </c>
      <c r="E22" s="83">
        <v>53.75</v>
      </c>
      <c r="F22" s="83">
        <f>E22*((100-Discounts!$B$28)/100)</f>
        <v>18.8125</v>
      </c>
    </row>
    <row r="23" spans="1:12" ht="27" customHeight="1" x14ac:dyDescent="0.85">
      <c r="A23" s="18">
        <v>4</v>
      </c>
      <c r="B23" s="18">
        <v>1.4</v>
      </c>
      <c r="C23" s="18">
        <v>10</v>
      </c>
      <c r="D23" s="20" t="s">
        <v>150</v>
      </c>
      <c r="E23" s="84">
        <v>71.25</v>
      </c>
      <c r="F23" s="84">
        <f>E23*((100-Discounts!$B$28)/100)</f>
        <v>24.9375</v>
      </c>
    </row>
    <row r="24" spans="1:12" ht="27" customHeight="1" x14ac:dyDescent="0.85">
      <c r="A24" s="16">
        <v>5</v>
      </c>
      <c r="B24" s="16">
        <v>1.4</v>
      </c>
      <c r="C24" s="16">
        <v>10</v>
      </c>
      <c r="D24" s="19" t="s">
        <v>151</v>
      </c>
      <c r="E24" s="83">
        <v>89.25</v>
      </c>
      <c r="F24" s="83">
        <f>E24*((100-Discounts!$B$28)/100)</f>
        <v>31.237499999999997</v>
      </c>
    </row>
    <row r="25" spans="1:12" ht="27" customHeight="1" x14ac:dyDescent="0.85">
      <c r="A25" s="18">
        <v>6</v>
      </c>
      <c r="B25" s="18">
        <v>1.4</v>
      </c>
      <c r="C25" s="18">
        <v>10</v>
      </c>
      <c r="D25" s="20" t="s">
        <v>152</v>
      </c>
      <c r="E25" s="84">
        <v>105.5</v>
      </c>
      <c r="F25" s="84">
        <f>E25*((100-Discounts!$B$28)/100)</f>
        <v>36.924999999999997</v>
      </c>
    </row>
    <row r="26" spans="1:12" ht="27" customHeight="1" thickBot="1" x14ac:dyDescent="0.9">
      <c r="A26" s="16">
        <v>10</v>
      </c>
      <c r="B26" s="16">
        <v>1.4</v>
      </c>
      <c r="C26" s="16">
        <v>5</v>
      </c>
      <c r="D26" s="19" t="s">
        <v>153</v>
      </c>
      <c r="E26" s="83">
        <v>172.5</v>
      </c>
      <c r="F26" s="83">
        <f>E26*((100-Discounts!$B$28)/100)</f>
        <v>60.374999999999993</v>
      </c>
    </row>
    <row r="27" spans="1:12" s="11" customFormat="1" ht="40.5" customHeight="1" thickTop="1" thickBot="1" x14ac:dyDescent="0.9">
      <c r="A27" s="175" t="s">
        <v>255</v>
      </c>
      <c r="B27" s="176"/>
      <c r="C27" s="176"/>
      <c r="D27" s="186"/>
      <c r="E27" s="177"/>
      <c r="F27" s="187" t="s">
        <v>323</v>
      </c>
      <c r="H27" s="13"/>
      <c r="L27" s="12"/>
    </row>
    <row r="28" spans="1:12" s="24" customFormat="1" ht="54" customHeight="1" thickTop="1" thickBot="1" x14ac:dyDescent="0.9">
      <c r="A28" s="188" t="s">
        <v>320</v>
      </c>
      <c r="B28" s="189" t="s">
        <v>321</v>
      </c>
      <c r="C28" s="189" t="s">
        <v>311</v>
      </c>
      <c r="D28" s="190" t="s">
        <v>322</v>
      </c>
      <c r="E28" s="191" t="s">
        <v>179</v>
      </c>
      <c r="F28" s="192" t="s">
        <v>199</v>
      </c>
    </row>
    <row r="29" spans="1:12" ht="27" customHeight="1" thickTop="1" x14ac:dyDescent="0.85">
      <c r="A29" s="16">
        <v>1</v>
      </c>
      <c r="B29" s="16">
        <v>1.4</v>
      </c>
      <c r="C29" s="16">
        <v>20</v>
      </c>
      <c r="D29" s="19" t="s">
        <v>154</v>
      </c>
      <c r="E29" s="83">
        <v>13</v>
      </c>
      <c r="F29" s="83">
        <f>E29*((100-Discounts!$B$29)/100)</f>
        <v>4.55</v>
      </c>
    </row>
    <row r="30" spans="1:12" ht="27" customHeight="1" x14ac:dyDescent="0.85">
      <c r="A30" s="18">
        <v>1.5</v>
      </c>
      <c r="B30" s="18">
        <v>1.4</v>
      </c>
      <c r="C30" s="18">
        <v>15</v>
      </c>
      <c r="D30" s="20" t="s">
        <v>155</v>
      </c>
      <c r="E30" s="84">
        <v>19.5</v>
      </c>
      <c r="F30" s="84">
        <f>E30*((100-Discounts!$B$29)/100)</f>
        <v>6.8249999999999993</v>
      </c>
    </row>
    <row r="31" spans="1:12" ht="27" customHeight="1" x14ac:dyDescent="0.85">
      <c r="A31" s="16">
        <v>2</v>
      </c>
      <c r="B31" s="16">
        <v>1.4</v>
      </c>
      <c r="C31" s="16">
        <v>10</v>
      </c>
      <c r="D31" s="19" t="s">
        <v>156</v>
      </c>
      <c r="E31" s="83">
        <v>26</v>
      </c>
      <c r="F31" s="83">
        <f>E31*((100-Discounts!$B$29)/100)</f>
        <v>9.1</v>
      </c>
    </row>
    <row r="32" spans="1:12" ht="27" customHeight="1" x14ac:dyDescent="0.85">
      <c r="A32" s="18">
        <v>3</v>
      </c>
      <c r="B32" s="18">
        <v>1.4</v>
      </c>
      <c r="C32" s="18">
        <v>10</v>
      </c>
      <c r="D32" s="20" t="s">
        <v>157</v>
      </c>
      <c r="E32" s="84">
        <v>40</v>
      </c>
      <c r="F32" s="84">
        <f>E32*((100-Discounts!$B$29)/100)</f>
        <v>14</v>
      </c>
    </row>
    <row r="33" spans="1:6" ht="27" customHeight="1" x14ac:dyDescent="0.85">
      <c r="A33" s="16">
        <v>3</v>
      </c>
      <c r="B33" s="16">
        <v>2</v>
      </c>
      <c r="C33" s="16">
        <v>10</v>
      </c>
      <c r="D33" s="19" t="s">
        <v>157</v>
      </c>
      <c r="E33" s="83">
        <v>40</v>
      </c>
      <c r="F33" s="83">
        <f>E33*((100-Discounts!$B$29)/100)</f>
        <v>14</v>
      </c>
    </row>
    <row r="34" spans="1:6" ht="27" customHeight="1" x14ac:dyDescent="0.85">
      <c r="A34" s="18">
        <v>4</v>
      </c>
      <c r="B34" s="18">
        <v>1.4</v>
      </c>
      <c r="C34" s="18">
        <v>10</v>
      </c>
      <c r="D34" s="20" t="s">
        <v>158</v>
      </c>
      <c r="E34" s="84">
        <v>53</v>
      </c>
      <c r="F34" s="84">
        <f>E34*((100-Discounts!$B$29)/100)</f>
        <v>18.549999999999997</v>
      </c>
    </row>
    <row r="35" spans="1:6" ht="27" customHeight="1" x14ac:dyDescent="0.85">
      <c r="A35" s="16">
        <v>4</v>
      </c>
      <c r="B35" s="16">
        <v>2</v>
      </c>
      <c r="C35" s="16">
        <v>10</v>
      </c>
      <c r="D35" s="19" t="s">
        <v>158</v>
      </c>
      <c r="E35" s="83">
        <v>53</v>
      </c>
      <c r="F35" s="83">
        <f>E35*((100-Discounts!$B$29)/100)</f>
        <v>18.549999999999997</v>
      </c>
    </row>
    <row r="36" spans="1:6" ht="27" customHeight="1" x14ac:dyDescent="0.85">
      <c r="A36" s="18">
        <v>5</v>
      </c>
      <c r="B36" s="18">
        <v>1.4</v>
      </c>
      <c r="C36" s="18">
        <v>10</v>
      </c>
      <c r="D36" s="20" t="s">
        <v>159</v>
      </c>
      <c r="E36" s="84">
        <v>65</v>
      </c>
      <c r="F36" s="84">
        <f>E36*((100-Discounts!$B$29)/100)</f>
        <v>22.75</v>
      </c>
    </row>
    <row r="37" spans="1:6" ht="27" customHeight="1" x14ac:dyDescent="0.85">
      <c r="A37" s="16">
        <v>5</v>
      </c>
      <c r="B37" s="16">
        <v>15</v>
      </c>
      <c r="C37" s="16">
        <v>10</v>
      </c>
      <c r="D37" s="19" t="s">
        <v>159</v>
      </c>
      <c r="E37" s="83">
        <v>65</v>
      </c>
      <c r="F37" s="83">
        <f>E37*((100-Discounts!$B$29)/100)</f>
        <v>22.75</v>
      </c>
    </row>
    <row r="38" spans="1:6" ht="27" customHeight="1" x14ac:dyDescent="0.85">
      <c r="A38" s="18">
        <v>6</v>
      </c>
      <c r="B38" s="18">
        <v>1.4</v>
      </c>
      <c r="C38" s="18">
        <v>10</v>
      </c>
      <c r="D38" s="20" t="s">
        <v>160</v>
      </c>
      <c r="E38" s="84">
        <v>80</v>
      </c>
      <c r="F38" s="84">
        <f>E38*((100-Discounts!$B$29)/100)</f>
        <v>28</v>
      </c>
    </row>
    <row r="39" spans="1:6" ht="27" customHeight="1" x14ac:dyDescent="0.85">
      <c r="A39" s="16">
        <v>6</v>
      </c>
      <c r="B39" s="16">
        <v>2</v>
      </c>
      <c r="C39" s="16">
        <v>10</v>
      </c>
      <c r="D39" s="19" t="s">
        <v>160</v>
      </c>
      <c r="E39" s="83">
        <v>80</v>
      </c>
      <c r="F39" s="83">
        <f>E39*((100-Discounts!$B$29)/100)</f>
        <v>28</v>
      </c>
    </row>
    <row r="40" spans="1:6" ht="27" customHeight="1" x14ac:dyDescent="0.85">
      <c r="A40" s="18">
        <v>8</v>
      </c>
      <c r="B40" s="18">
        <v>1.4</v>
      </c>
      <c r="C40" s="18">
        <v>10</v>
      </c>
      <c r="D40" s="20" t="s">
        <v>161</v>
      </c>
      <c r="E40" s="84">
        <v>105</v>
      </c>
      <c r="F40" s="84">
        <f>E40*((100-Discounts!$B$29)/100)</f>
        <v>36.75</v>
      </c>
    </row>
    <row r="41" spans="1:6" ht="27" customHeight="1" x14ac:dyDescent="0.85">
      <c r="A41" s="16">
        <v>8</v>
      </c>
      <c r="B41" s="16">
        <v>2</v>
      </c>
      <c r="C41" s="16">
        <v>10</v>
      </c>
      <c r="D41" s="19" t="s">
        <v>161</v>
      </c>
      <c r="E41" s="83">
        <v>105</v>
      </c>
      <c r="F41" s="83">
        <f>E41*((100-Discounts!$B$29)/100)</f>
        <v>36.75</v>
      </c>
    </row>
    <row r="42" spans="1:6" ht="27" customHeight="1" x14ac:dyDescent="0.85">
      <c r="A42" s="18">
        <v>10</v>
      </c>
      <c r="B42" s="18">
        <v>1.4</v>
      </c>
      <c r="C42" s="18">
        <v>10</v>
      </c>
      <c r="D42" s="20" t="s">
        <v>162</v>
      </c>
      <c r="E42" s="84">
        <v>130</v>
      </c>
      <c r="F42" s="84">
        <f>E42*((100-Discounts!$B$29)/100)</f>
        <v>45.5</v>
      </c>
    </row>
    <row r="43" spans="1:6" ht="27" customHeight="1" x14ac:dyDescent="0.85">
      <c r="A43" s="16">
        <v>10</v>
      </c>
      <c r="B43" s="16">
        <v>1.4</v>
      </c>
      <c r="C43" s="16">
        <v>20</v>
      </c>
      <c r="D43" s="19" t="s">
        <v>162</v>
      </c>
      <c r="E43" s="83">
        <v>130</v>
      </c>
      <c r="F43" s="83">
        <f>E43*((100-Discounts!$B$29)/100)</f>
        <v>45.5</v>
      </c>
    </row>
    <row r="44" spans="1:6" ht="27" customHeight="1" x14ac:dyDescent="0.85">
      <c r="A44" s="18">
        <v>10</v>
      </c>
      <c r="B44" s="18">
        <v>2</v>
      </c>
      <c r="C44" s="18">
        <v>10</v>
      </c>
      <c r="D44" s="20" t="s">
        <v>162</v>
      </c>
      <c r="E44" s="84">
        <v>130</v>
      </c>
      <c r="F44" s="84">
        <f>E44*((100-Discounts!$B$29)/100)</f>
        <v>45.5</v>
      </c>
    </row>
    <row r="45" spans="1:6" ht="27" customHeight="1" x14ac:dyDescent="0.85">
      <c r="A45" s="16">
        <v>10</v>
      </c>
      <c r="B45" s="16">
        <v>2</v>
      </c>
      <c r="C45" s="16">
        <v>20</v>
      </c>
      <c r="D45" s="19" t="s">
        <v>162</v>
      </c>
      <c r="E45" s="83">
        <v>130</v>
      </c>
      <c r="F45" s="83">
        <f>E45*((100-Discounts!$B$29)/100)</f>
        <v>45.5</v>
      </c>
    </row>
    <row r="46" spans="1:6" ht="27" customHeight="1" x14ac:dyDescent="0.85">
      <c r="A46" s="18">
        <v>12</v>
      </c>
      <c r="B46" s="18">
        <v>1.4</v>
      </c>
      <c r="C46" s="18">
        <v>5</v>
      </c>
      <c r="D46" s="20" t="s">
        <v>198</v>
      </c>
      <c r="E46" s="84">
        <v>155</v>
      </c>
      <c r="F46" s="84">
        <f>E46*((100-Discounts!$B$29)/100)</f>
        <v>54.25</v>
      </c>
    </row>
    <row r="47" spans="1:6" ht="27" customHeight="1" x14ac:dyDescent="0.85">
      <c r="A47" s="16">
        <v>12</v>
      </c>
      <c r="B47" s="16">
        <v>2</v>
      </c>
      <c r="C47" s="16">
        <v>10</v>
      </c>
      <c r="D47" s="19" t="s">
        <v>198</v>
      </c>
      <c r="E47" s="83">
        <v>155</v>
      </c>
      <c r="F47" s="83">
        <f>E47*((100-Discounts!$B$29)/100)</f>
        <v>54.25</v>
      </c>
    </row>
    <row r="48" spans="1:6" ht="27" customHeight="1" x14ac:dyDescent="0.85">
      <c r="A48" s="18">
        <v>15</v>
      </c>
      <c r="B48" s="18">
        <v>1.4</v>
      </c>
      <c r="C48" s="18">
        <v>10</v>
      </c>
      <c r="D48" s="20" t="s">
        <v>163</v>
      </c>
      <c r="E48" s="84">
        <v>192</v>
      </c>
      <c r="F48" s="84">
        <f>E48*((100-Discounts!$B$29)/100)</f>
        <v>67.199999999999989</v>
      </c>
    </row>
    <row r="49" spans="1:27" ht="27" customHeight="1" x14ac:dyDescent="0.85">
      <c r="A49" s="16">
        <v>15</v>
      </c>
      <c r="B49" s="16">
        <v>2</v>
      </c>
      <c r="C49" s="16">
        <v>10</v>
      </c>
      <c r="D49" s="19" t="s">
        <v>163</v>
      </c>
      <c r="E49" s="83">
        <v>192</v>
      </c>
      <c r="F49" s="83">
        <f>E49*((100-Discounts!$B$29)/100)</f>
        <v>67.199999999999989</v>
      </c>
    </row>
    <row r="50" spans="1:27" ht="27" customHeight="1" x14ac:dyDescent="0.85">
      <c r="A50" s="18">
        <v>20</v>
      </c>
      <c r="B50" s="18">
        <v>1.4</v>
      </c>
      <c r="C50" s="18">
        <v>10</v>
      </c>
      <c r="D50" s="20" t="s">
        <v>164</v>
      </c>
      <c r="E50" s="84">
        <v>252</v>
      </c>
      <c r="F50" s="84">
        <f>E50*((100-Discounts!$B$29)/100)</f>
        <v>88.199999999999989</v>
      </c>
    </row>
    <row r="51" spans="1:27" ht="27" customHeight="1" x14ac:dyDescent="0.85">
      <c r="A51" s="16">
        <v>20</v>
      </c>
      <c r="B51" s="16">
        <v>2</v>
      </c>
      <c r="C51" s="16">
        <v>10</v>
      </c>
      <c r="D51" s="19" t="s">
        <v>164</v>
      </c>
      <c r="E51" s="83">
        <v>252</v>
      </c>
      <c r="F51" s="83">
        <f>E51*((100-Discounts!$B$29)/100)</f>
        <v>88.199999999999989</v>
      </c>
    </row>
    <row r="52" spans="1:27" ht="27" customHeight="1" thickBot="1" x14ac:dyDescent="0.9">
      <c r="A52" s="18">
        <v>25</v>
      </c>
      <c r="B52" s="18">
        <v>2</v>
      </c>
      <c r="C52" s="18">
        <v>10</v>
      </c>
      <c r="D52" s="20" t="s">
        <v>316</v>
      </c>
      <c r="E52" s="84">
        <v>311</v>
      </c>
      <c r="F52" s="84">
        <f>E52*((100-Discounts!$B$29)/100)</f>
        <v>108.85</v>
      </c>
    </row>
    <row r="53" spans="1:27" s="11" customFormat="1" ht="40.5" customHeight="1" thickTop="1" thickBot="1" x14ac:dyDescent="0.9">
      <c r="A53" s="175" t="s">
        <v>256</v>
      </c>
      <c r="B53" s="176"/>
      <c r="C53" s="176"/>
      <c r="D53" s="186"/>
      <c r="E53" s="177"/>
      <c r="F53" s="187" t="s">
        <v>323</v>
      </c>
      <c r="H53" s="13"/>
      <c r="L53" s="12"/>
    </row>
    <row r="54" spans="1:27" s="24" customFormat="1" ht="54" customHeight="1" thickTop="1" thickBot="1" x14ac:dyDescent="0.9">
      <c r="A54" s="188" t="s">
        <v>320</v>
      </c>
      <c r="B54" s="189" t="s">
        <v>321</v>
      </c>
      <c r="C54" s="189" t="s">
        <v>311</v>
      </c>
      <c r="D54" s="190" t="s">
        <v>322</v>
      </c>
      <c r="E54" s="191" t="s">
        <v>179</v>
      </c>
      <c r="F54" s="192" t="s">
        <v>199</v>
      </c>
    </row>
    <row r="55" spans="1:27" ht="27" customHeight="1" thickTop="1" x14ac:dyDescent="0.85">
      <c r="A55" s="16">
        <v>4</v>
      </c>
      <c r="B55" s="16">
        <v>1.4</v>
      </c>
      <c r="C55" s="16">
        <v>10</v>
      </c>
      <c r="D55" s="19" t="s">
        <v>419</v>
      </c>
      <c r="E55" s="83">
        <v>55</v>
      </c>
      <c r="F55" s="83">
        <f>E55*((100-Discounts!$B$30)/100)</f>
        <v>19.25</v>
      </c>
    </row>
    <row r="56" spans="1:27" ht="27" customHeight="1" x14ac:dyDescent="0.85">
      <c r="A56" s="18">
        <v>6</v>
      </c>
      <c r="B56" s="18">
        <v>1.4</v>
      </c>
      <c r="C56" s="18">
        <v>10</v>
      </c>
      <c r="D56" s="20" t="s">
        <v>420</v>
      </c>
      <c r="E56" s="84">
        <v>80</v>
      </c>
      <c r="F56" s="84">
        <f>E56*((100-Discounts!$B$30)/100)</f>
        <v>28</v>
      </c>
    </row>
    <row r="57" spans="1:27" ht="27" customHeight="1" x14ac:dyDescent="0.85">
      <c r="A57" s="16">
        <v>8</v>
      </c>
      <c r="B57" s="16">
        <v>1.4</v>
      </c>
      <c r="C57" s="16">
        <v>10</v>
      </c>
      <c r="D57" s="19" t="s">
        <v>421</v>
      </c>
      <c r="E57" s="83">
        <v>107</v>
      </c>
      <c r="F57" s="83">
        <f>E57*((100-Discounts!$B$30)/100)</f>
        <v>37.449999999999996</v>
      </c>
    </row>
    <row r="58" spans="1:27" ht="27" customHeight="1" x14ac:dyDescent="0.85">
      <c r="A58" s="18">
        <v>10</v>
      </c>
      <c r="B58" s="18">
        <v>1.4</v>
      </c>
      <c r="C58" s="18">
        <v>10</v>
      </c>
      <c r="D58" s="20" t="s">
        <v>422</v>
      </c>
      <c r="E58" s="84">
        <v>128</v>
      </c>
      <c r="F58" s="84">
        <f>E58*((100-Discounts!$B$30)/100)</f>
        <v>44.8</v>
      </c>
    </row>
    <row r="59" spans="1:27" ht="27" customHeight="1" x14ac:dyDescent="0.85">
      <c r="A59" s="16">
        <v>15</v>
      </c>
      <c r="B59" s="16">
        <v>1.4</v>
      </c>
      <c r="C59" s="16">
        <v>10</v>
      </c>
      <c r="D59" s="19" t="s">
        <v>423</v>
      </c>
      <c r="E59" s="83">
        <v>190</v>
      </c>
      <c r="F59" s="83">
        <f>E59*((100-Discounts!$B$30)/100)</f>
        <v>66.5</v>
      </c>
    </row>
    <row r="60" spans="1:27" ht="27" customHeight="1" thickBot="1" x14ac:dyDescent="0.9">
      <c r="A60" s="18">
        <v>20</v>
      </c>
      <c r="B60" s="18">
        <v>1.4</v>
      </c>
      <c r="C60" s="18">
        <v>10</v>
      </c>
      <c r="D60" s="20" t="s">
        <v>424</v>
      </c>
      <c r="E60" s="84">
        <v>250</v>
      </c>
      <c r="F60" s="84">
        <f>E60*((100-Discounts!$B$30)/100)</f>
        <v>87.5</v>
      </c>
    </row>
    <row r="61" spans="1:27" s="11" customFormat="1" ht="40.5" customHeight="1" thickTop="1" thickBot="1" x14ac:dyDescent="0.9">
      <c r="A61" s="175" t="s">
        <v>733</v>
      </c>
      <c r="B61" s="176"/>
      <c r="C61" s="176"/>
      <c r="D61" s="186"/>
      <c r="E61" s="177"/>
      <c r="F61" s="187" t="s">
        <v>323</v>
      </c>
      <c r="G61" s="178"/>
    </row>
    <row r="62" spans="1:27" s="25" customFormat="1" ht="54" customHeight="1" thickTop="1" thickBot="1" x14ac:dyDescent="0.9">
      <c r="A62" s="179" t="s">
        <v>320</v>
      </c>
      <c r="B62" s="179" t="s">
        <v>321</v>
      </c>
      <c r="C62" s="179" t="s">
        <v>311</v>
      </c>
      <c r="D62" s="197" t="s">
        <v>322</v>
      </c>
      <c r="E62" s="180" t="s">
        <v>684</v>
      </c>
      <c r="F62" s="181" t="s">
        <v>199</v>
      </c>
      <c r="G62" s="178"/>
      <c r="H62" s="182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</row>
    <row r="63" spans="1:27" s="11" customFormat="1" ht="27" customHeight="1" thickTop="1" x14ac:dyDescent="0.85">
      <c r="A63" s="16">
        <v>3</v>
      </c>
      <c r="B63" s="16">
        <v>2</v>
      </c>
      <c r="C63" s="16">
        <v>10</v>
      </c>
      <c r="D63" s="93" t="s">
        <v>734</v>
      </c>
      <c r="E63" s="80">
        <v>34</v>
      </c>
      <c r="F63" s="80">
        <f>E63*((100-Discounts!$B$31)/100)</f>
        <v>11.899999999999999</v>
      </c>
      <c r="G63" s="178"/>
      <c r="H63" s="184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</row>
    <row r="64" spans="1:27" s="11" customFormat="1" ht="27" customHeight="1" x14ac:dyDescent="0.85">
      <c r="A64" s="18">
        <v>4</v>
      </c>
      <c r="B64" s="18">
        <v>2</v>
      </c>
      <c r="C64" s="18">
        <v>10</v>
      </c>
      <c r="D64" s="94" t="s">
        <v>735</v>
      </c>
      <c r="E64" s="81">
        <v>45</v>
      </c>
      <c r="F64" s="81">
        <f>E64*((100-Discounts!$B$31)/100)</f>
        <v>15.749999999999998</v>
      </c>
      <c r="G64" s="178"/>
      <c r="H64" s="184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</row>
    <row r="65" spans="1:27" s="11" customFormat="1" ht="27" customHeight="1" x14ac:dyDescent="0.85">
      <c r="A65" s="16">
        <v>5</v>
      </c>
      <c r="B65" s="16">
        <v>2</v>
      </c>
      <c r="C65" s="16">
        <v>10</v>
      </c>
      <c r="D65" s="93" t="s">
        <v>736</v>
      </c>
      <c r="E65" s="80">
        <v>57</v>
      </c>
      <c r="F65" s="80">
        <f>E65*((100-Discounts!$B$31)/100)</f>
        <v>19.95</v>
      </c>
      <c r="G65" s="178"/>
      <c r="H65" s="184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</row>
    <row r="66" spans="1:27" s="11" customFormat="1" ht="27" customHeight="1" x14ac:dyDescent="0.85">
      <c r="A66" s="18">
        <v>6</v>
      </c>
      <c r="B66" s="18">
        <v>2</v>
      </c>
      <c r="C66" s="18">
        <v>10</v>
      </c>
      <c r="D66" s="94" t="s">
        <v>737</v>
      </c>
      <c r="E66" s="81">
        <v>65</v>
      </c>
      <c r="F66" s="81">
        <f>E66*((100-Discounts!$B$31)/100)</f>
        <v>22.75</v>
      </c>
      <c r="G66" s="178"/>
      <c r="H66" s="184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</row>
    <row r="67" spans="1:27" s="11" customFormat="1" ht="27" customHeight="1" x14ac:dyDescent="0.85">
      <c r="A67" s="16">
        <v>8</v>
      </c>
      <c r="B67" s="16">
        <v>2</v>
      </c>
      <c r="C67" s="16">
        <v>10</v>
      </c>
      <c r="D67" s="93" t="s">
        <v>738</v>
      </c>
      <c r="E67" s="80">
        <v>85</v>
      </c>
      <c r="F67" s="80">
        <f>E67*((100-Discounts!$B$31)/100)</f>
        <v>29.749999999999996</v>
      </c>
      <c r="G67" s="178"/>
      <c r="H67" s="184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</row>
    <row r="68" spans="1:27" s="11" customFormat="1" ht="27" customHeight="1" x14ac:dyDescent="0.85">
      <c r="A68" s="18">
        <v>10</v>
      </c>
      <c r="B68" s="18">
        <v>2</v>
      </c>
      <c r="C68" s="18">
        <v>10</v>
      </c>
      <c r="D68" s="94" t="s">
        <v>739</v>
      </c>
      <c r="E68" s="81">
        <v>105</v>
      </c>
      <c r="F68" s="81">
        <f>E68*((100-Discounts!$B$31)/100)</f>
        <v>36.75</v>
      </c>
      <c r="G68" s="178"/>
      <c r="H68" s="184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</row>
    <row r="69" spans="1:27" s="11" customFormat="1" ht="27" customHeight="1" x14ac:dyDescent="0.85">
      <c r="A69" s="16">
        <v>12</v>
      </c>
      <c r="B69" s="16">
        <v>2</v>
      </c>
      <c r="C69" s="16">
        <v>10</v>
      </c>
      <c r="D69" s="93" t="s">
        <v>740</v>
      </c>
      <c r="E69" s="80">
        <v>125</v>
      </c>
      <c r="F69" s="80">
        <f>E69*((100-Discounts!$B$31)/100)</f>
        <v>43.75</v>
      </c>
      <c r="G69" s="178"/>
      <c r="H69" s="184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</row>
    <row r="70" spans="1:27" s="11" customFormat="1" ht="27" customHeight="1" x14ac:dyDescent="0.85">
      <c r="A70" s="18">
        <v>15</v>
      </c>
      <c r="B70" s="18">
        <v>2</v>
      </c>
      <c r="C70" s="18">
        <v>10</v>
      </c>
      <c r="D70" s="94" t="s">
        <v>741</v>
      </c>
      <c r="E70" s="81">
        <v>155</v>
      </c>
      <c r="F70" s="81">
        <f>E70*((100-Discounts!$B$31)/100)</f>
        <v>54.25</v>
      </c>
      <c r="G70" s="178"/>
      <c r="H70" s="184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</row>
    <row r="71" spans="1:27" s="11" customFormat="1" ht="27" customHeight="1" thickBot="1" x14ac:dyDescent="0.9">
      <c r="A71" s="16">
        <v>20</v>
      </c>
      <c r="B71" s="16">
        <v>2</v>
      </c>
      <c r="C71" s="16">
        <v>10</v>
      </c>
      <c r="D71" s="93" t="s">
        <v>742</v>
      </c>
      <c r="E71" s="80">
        <v>210</v>
      </c>
      <c r="F71" s="80">
        <f>E71*((100-Discounts!$B$31)/100)</f>
        <v>73.5</v>
      </c>
      <c r="G71" s="178"/>
      <c r="H71" s="184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</row>
    <row r="72" spans="1:27" s="11" customFormat="1" ht="40.5" customHeight="1" thickTop="1" thickBot="1" x14ac:dyDescent="0.9">
      <c r="A72" s="175" t="s">
        <v>438</v>
      </c>
      <c r="B72" s="176"/>
      <c r="C72" s="176"/>
      <c r="D72" s="186"/>
      <c r="E72" s="177"/>
      <c r="F72" s="187" t="s">
        <v>323</v>
      </c>
      <c r="H72" s="13"/>
      <c r="L72" s="12"/>
    </row>
    <row r="73" spans="1:27" s="24" customFormat="1" ht="54" customHeight="1" thickTop="1" thickBot="1" x14ac:dyDescent="0.9">
      <c r="A73" s="188" t="s">
        <v>320</v>
      </c>
      <c r="B73" s="189" t="s">
        <v>321</v>
      </c>
      <c r="C73" s="189" t="s">
        <v>311</v>
      </c>
      <c r="D73" s="190" t="s">
        <v>322</v>
      </c>
      <c r="E73" s="191" t="s">
        <v>179</v>
      </c>
      <c r="F73" s="192" t="s">
        <v>199</v>
      </c>
    </row>
    <row r="74" spans="1:27" ht="27" customHeight="1" thickTop="1" x14ac:dyDescent="0.85">
      <c r="A74" s="16">
        <v>3</v>
      </c>
      <c r="B74" s="16">
        <v>1.4</v>
      </c>
      <c r="C74" s="16">
        <v>10</v>
      </c>
      <c r="D74" s="19" t="s">
        <v>425</v>
      </c>
      <c r="E74" s="83">
        <v>27</v>
      </c>
      <c r="F74" s="83">
        <f>E74*((100-Discounts!$B$32)/100)</f>
        <v>9.4499999999999993</v>
      </c>
    </row>
    <row r="75" spans="1:27" ht="27" customHeight="1" x14ac:dyDescent="0.85">
      <c r="A75" s="18">
        <v>4</v>
      </c>
      <c r="B75" s="18">
        <v>1.4</v>
      </c>
      <c r="C75" s="18">
        <v>10</v>
      </c>
      <c r="D75" s="20" t="s">
        <v>426</v>
      </c>
      <c r="E75" s="84">
        <v>36</v>
      </c>
      <c r="F75" s="84">
        <f>E75*((100-Discounts!$B$32)/100)</f>
        <v>12.6</v>
      </c>
    </row>
    <row r="76" spans="1:27" ht="27" customHeight="1" x14ac:dyDescent="0.85">
      <c r="A76" s="16">
        <v>5</v>
      </c>
      <c r="B76" s="16">
        <v>1.4</v>
      </c>
      <c r="C76" s="16">
        <v>10</v>
      </c>
      <c r="D76" s="19" t="s">
        <v>427</v>
      </c>
      <c r="E76" s="83">
        <v>43</v>
      </c>
      <c r="F76" s="83">
        <f>E76*((100-Discounts!$B$32)/100)</f>
        <v>15.049999999999999</v>
      </c>
    </row>
    <row r="77" spans="1:27" ht="27" customHeight="1" x14ac:dyDescent="0.85">
      <c r="A77" s="18">
        <v>5</v>
      </c>
      <c r="B77" s="18">
        <v>2</v>
      </c>
      <c r="C77" s="18">
        <v>10</v>
      </c>
      <c r="D77" s="20" t="s">
        <v>427</v>
      </c>
      <c r="E77" s="84">
        <v>43</v>
      </c>
      <c r="F77" s="84">
        <f>E77*((100-Discounts!$B$32)/100)</f>
        <v>15.049999999999999</v>
      </c>
    </row>
    <row r="78" spans="1:27" ht="27" customHeight="1" x14ac:dyDescent="0.85">
      <c r="A78" s="16">
        <v>6</v>
      </c>
      <c r="B78" s="16">
        <v>1.4</v>
      </c>
      <c r="C78" s="16">
        <v>10</v>
      </c>
      <c r="D78" s="19" t="s">
        <v>428</v>
      </c>
      <c r="E78" s="83">
        <v>51</v>
      </c>
      <c r="F78" s="83">
        <f>E78*((100-Discounts!$B$32)/100)</f>
        <v>17.849999999999998</v>
      </c>
    </row>
    <row r="79" spans="1:27" ht="27" customHeight="1" x14ac:dyDescent="0.85">
      <c r="A79" s="18">
        <v>6</v>
      </c>
      <c r="B79" s="18">
        <v>2</v>
      </c>
      <c r="C79" s="18">
        <v>10</v>
      </c>
      <c r="D79" s="20" t="s">
        <v>428</v>
      </c>
      <c r="E79" s="84">
        <v>51</v>
      </c>
      <c r="F79" s="84">
        <f>E79*((100-Discounts!$B$32)/100)</f>
        <v>17.849999999999998</v>
      </c>
    </row>
    <row r="80" spans="1:27" ht="27" customHeight="1" x14ac:dyDescent="0.85">
      <c r="A80" s="16">
        <v>8</v>
      </c>
      <c r="B80" s="16">
        <v>1.4</v>
      </c>
      <c r="C80" s="16">
        <v>10</v>
      </c>
      <c r="D80" s="19" t="s">
        <v>429</v>
      </c>
      <c r="E80" s="83">
        <v>68</v>
      </c>
      <c r="F80" s="83">
        <f>E80*((100-Discounts!$B$32)/100)</f>
        <v>23.799999999999997</v>
      </c>
    </row>
    <row r="81" spans="1:12" ht="27" customHeight="1" x14ac:dyDescent="0.85">
      <c r="A81" s="18">
        <v>8</v>
      </c>
      <c r="B81" s="18">
        <v>2</v>
      </c>
      <c r="C81" s="18">
        <v>10</v>
      </c>
      <c r="D81" s="20" t="s">
        <v>429</v>
      </c>
      <c r="E81" s="84">
        <v>68</v>
      </c>
      <c r="F81" s="84">
        <f>E81*((100-Discounts!$B$32)/100)</f>
        <v>23.799999999999997</v>
      </c>
    </row>
    <row r="82" spans="1:12" ht="27" customHeight="1" x14ac:dyDescent="0.85">
      <c r="A82" s="16">
        <v>10</v>
      </c>
      <c r="B82" s="16">
        <v>1.4</v>
      </c>
      <c r="C82" s="16">
        <v>10</v>
      </c>
      <c r="D82" s="19" t="s">
        <v>430</v>
      </c>
      <c r="E82" s="83">
        <v>85</v>
      </c>
      <c r="F82" s="83">
        <f>E82*((100-Discounts!$B$32)/100)</f>
        <v>29.749999999999996</v>
      </c>
    </row>
    <row r="83" spans="1:12" ht="27" customHeight="1" x14ac:dyDescent="0.85">
      <c r="A83" s="18">
        <v>10</v>
      </c>
      <c r="B83" s="18">
        <v>2</v>
      </c>
      <c r="C83" s="18">
        <v>10</v>
      </c>
      <c r="D83" s="20" t="s">
        <v>430</v>
      </c>
      <c r="E83" s="84">
        <v>85</v>
      </c>
      <c r="F83" s="84">
        <f>E83*((100-Discounts!$B$32)/100)</f>
        <v>29.749999999999996</v>
      </c>
    </row>
    <row r="84" spans="1:12" ht="27" customHeight="1" x14ac:dyDescent="0.85">
      <c r="A84" s="16">
        <v>12</v>
      </c>
      <c r="B84" s="16">
        <v>1.4</v>
      </c>
      <c r="C84" s="16">
        <v>10</v>
      </c>
      <c r="D84" s="19" t="s">
        <v>431</v>
      </c>
      <c r="E84" s="83">
        <v>102</v>
      </c>
      <c r="F84" s="83">
        <f>E84*((100-Discounts!$B$32)/100)</f>
        <v>35.699999999999996</v>
      </c>
    </row>
    <row r="85" spans="1:12" ht="27" customHeight="1" x14ac:dyDescent="0.85">
      <c r="A85" s="18">
        <v>12</v>
      </c>
      <c r="B85" s="18">
        <v>2</v>
      </c>
      <c r="C85" s="18">
        <v>10</v>
      </c>
      <c r="D85" s="20" t="s">
        <v>431</v>
      </c>
      <c r="E85" s="84">
        <v>102</v>
      </c>
      <c r="F85" s="84">
        <f>E85*((100-Discounts!$B$32)/100)</f>
        <v>35.699999999999996</v>
      </c>
    </row>
    <row r="86" spans="1:12" ht="27" customHeight="1" x14ac:dyDescent="0.85">
      <c r="A86" s="16">
        <v>15</v>
      </c>
      <c r="B86" s="16">
        <v>1.4</v>
      </c>
      <c r="C86" s="16">
        <v>10</v>
      </c>
      <c r="D86" s="19" t="s">
        <v>432</v>
      </c>
      <c r="E86" s="83">
        <v>127</v>
      </c>
      <c r="F86" s="83">
        <f>E86*((100-Discounts!$B$32)/100)</f>
        <v>44.449999999999996</v>
      </c>
    </row>
    <row r="87" spans="1:12" ht="27" customHeight="1" x14ac:dyDescent="0.85">
      <c r="A87" s="18">
        <v>15</v>
      </c>
      <c r="B87" s="18">
        <v>2</v>
      </c>
      <c r="C87" s="18">
        <v>10</v>
      </c>
      <c r="D87" s="20" t="s">
        <v>432</v>
      </c>
      <c r="E87" s="84">
        <v>127</v>
      </c>
      <c r="F87" s="84">
        <f>E87*((100-Discounts!$B$32)/100)</f>
        <v>44.449999999999996</v>
      </c>
    </row>
    <row r="88" spans="1:12" ht="27" customHeight="1" x14ac:dyDescent="0.85">
      <c r="A88" s="16">
        <v>20</v>
      </c>
      <c r="B88" s="16">
        <v>1.4</v>
      </c>
      <c r="C88" s="16">
        <v>10</v>
      </c>
      <c r="D88" s="19" t="s">
        <v>433</v>
      </c>
      <c r="E88" s="83">
        <v>170</v>
      </c>
      <c r="F88" s="83">
        <f>E88*((100-Discounts!$B$32)/100)</f>
        <v>59.499999999999993</v>
      </c>
    </row>
    <row r="89" spans="1:12" ht="27" customHeight="1" x14ac:dyDescent="0.85">
      <c r="A89" s="18">
        <v>20</v>
      </c>
      <c r="B89" s="18">
        <v>2</v>
      </c>
      <c r="C89" s="18">
        <v>10</v>
      </c>
      <c r="D89" s="20" t="s">
        <v>433</v>
      </c>
      <c r="E89" s="84">
        <v>170</v>
      </c>
      <c r="F89" s="84">
        <f>E89*((100-Discounts!$B$32)/100)</f>
        <v>59.499999999999993</v>
      </c>
    </row>
    <row r="90" spans="1:12" ht="27" customHeight="1" x14ac:dyDescent="0.85">
      <c r="A90" s="16">
        <v>25</v>
      </c>
      <c r="B90" s="16">
        <v>1.4</v>
      </c>
      <c r="C90" s="16">
        <v>10</v>
      </c>
      <c r="D90" s="19" t="s">
        <v>434</v>
      </c>
      <c r="E90" s="83">
        <v>212</v>
      </c>
      <c r="F90" s="83">
        <f>E90*((100-Discounts!$B$32)/100)</f>
        <v>74.199999999999989</v>
      </c>
    </row>
    <row r="91" spans="1:12" ht="27" customHeight="1" x14ac:dyDescent="0.85">
      <c r="A91" s="18">
        <v>25</v>
      </c>
      <c r="B91" s="18">
        <v>2</v>
      </c>
      <c r="C91" s="18">
        <v>10</v>
      </c>
      <c r="D91" s="20" t="s">
        <v>434</v>
      </c>
      <c r="E91" s="84">
        <v>212</v>
      </c>
      <c r="F91" s="84">
        <f>E91*((100-Discounts!$B$32)/100)</f>
        <v>74.199999999999989</v>
      </c>
    </row>
    <row r="92" spans="1:12" ht="27" customHeight="1" x14ac:dyDescent="0.85">
      <c r="A92" s="16">
        <v>30</v>
      </c>
      <c r="B92" s="16">
        <v>1.4</v>
      </c>
      <c r="C92" s="16">
        <v>10</v>
      </c>
      <c r="D92" s="19" t="s">
        <v>435</v>
      </c>
      <c r="E92" s="83">
        <v>255</v>
      </c>
      <c r="F92" s="83">
        <f>E92*((100-Discounts!$B$32)/100)</f>
        <v>89.25</v>
      </c>
    </row>
    <row r="93" spans="1:12" ht="27" customHeight="1" x14ac:dyDescent="0.85">
      <c r="A93" s="18">
        <v>30</v>
      </c>
      <c r="B93" s="18">
        <v>2</v>
      </c>
      <c r="C93" s="18">
        <v>10</v>
      </c>
      <c r="D93" s="20" t="s">
        <v>435</v>
      </c>
      <c r="E93" s="84">
        <v>255</v>
      </c>
      <c r="F93" s="84">
        <f>E93*((100-Discounts!$B$32)/100)</f>
        <v>89.25</v>
      </c>
    </row>
    <row r="94" spans="1:12" ht="27" customHeight="1" x14ac:dyDescent="0.85">
      <c r="A94" s="16">
        <v>40</v>
      </c>
      <c r="B94" s="16">
        <v>2</v>
      </c>
      <c r="C94" s="16">
        <v>5</v>
      </c>
      <c r="D94" s="19" t="s">
        <v>436</v>
      </c>
      <c r="E94" s="83">
        <v>340</v>
      </c>
      <c r="F94" s="83">
        <f>E94*((100-Discounts!$B$32)/100)</f>
        <v>118.99999999999999</v>
      </c>
    </row>
    <row r="95" spans="1:12" ht="27" customHeight="1" thickBot="1" x14ac:dyDescent="0.9">
      <c r="A95" s="18">
        <v>50</v>
      </c>
      <c r="B95" s="18">
        <v>2</v>
      </c>
      <c r="C95" s="18">
        <v>5</v>
      </c>
      <c r="D95" s="20" t="s">
        <v>437</v>
      </c>
      <c r="E95" s="84">
        <v>425</v>
      </c>
      <c r="F95" s="84">
        <f>E95*((100-Discounts!$B$32)/100)</f>
        <v>148.75</v>
      </c>
    </row>
    <row r="96" spans="1:12" s="11" customFormat="1" ht="40.5" customHeight="1" thickTop="1" thickBot="1" x14ac:dyDescent="0.9">
      <c r="A96" s="175" t="s">
        <v>446</v>
      </c>
      <c r="B96" s="176"/>
      <c r="C96" s="176"/>
      <c r="D96" s="186"/>
      <c r="E96" s="177"/>
      <c r="F96" s="187" t="s">
        <v>323</v>
      </c>
      <c r="H96" s="13"/>
      <c r="L96" s="12"/>
    </row>
    <row r="97" spans="1:12" s="24" customFormat="1" ht="54" customHeight="1" thickTop="1" thickBot="1" x14ac:dyDescent="0.9">
      <c r="A97" s="188" t="s">
        <v>320</v>
      </c>
      <c r="B97" s="189" t="s">
        <v>321</v>
      </c>
      <c r="C97" s="189" t="s">
        <v>311</v>
      </c>
      <c r="D97" s="190" t="s">
        <v>322</v>
      </c>
      <c r="E97" s="191" t="s">
        <v>179</v>
      </c>
      <c r="F97" s="192" t="s">
        <v>199</v>
      </c>
    </row>
    <row r="98" spans="1:12" ht="27" customHeight="1" thickTop="1" x14ac:dyDescent="0.85">
      <c r="A98" s="16">
        <v>1.5</v>
      </c>
      <c r="B98" s="16">
        <v>1.4</v>
      </c>
      <c r="C98" s="16">
        <v>10</v>
      </c>
      <c r="D98" s="19" t="s">
        <v>447</v>
      </c>
      <c r="E98" s="83">
        <v>45</v>
      </c>
      <c r="F98" s="83">
        <f>E98*((100-Discounts!$B$33)/100)</f>
        <v>15.749999999999998</v>
      </c>
    </row>
    <row r="99" spans="1:12" ht="27" customHeight="1" x14ac:dyDescent="0.85">
      <c r="A99" s="18">
        <v>2</v>
      </c>
      <c r="B99" s="18">
        <v>1.4</v>
      </c>
      <c r="C99" s="18">
        <v>10</v>
      </c>
      <c r="D99" s="20" t="s">
        <v>439</v>
      </c>
      <c r="E99" s="84">
        <v>59</v>
      </c>
      <c r="F99" s="84">
        <f>E99*((100-Discounts!$B$33)/100)</f>
        <v>20.65</v>
      </c>
    </row>
    <row r="100" spans="1:12" ht="27" customHeight="1" x14ac:dyDescent="0.85">
      <c r="A100" s="16">
        <v>3</v>
      </c>
      <c r="B100" s="16">
        <v>1.4</v>
      </c>
      <c r="C100" s="16">
        <v>10</v>
      </c>
      <c r="D100" s="19" t="s">
        <v>440</v>
      </c>
      <c r="E100" s="83">
        <v>89</v>
      </c>
      <c r="F100" s="83">
        <f>E100*((100-Discounts!$B$33)/100)</f>
        <v>31.15</v>
      </c>
    </row>
    <row r="101" spans="1:12" ht="27" customHeight="1" x14ac:dyDescent="0.85">
      <c r="A101" s="18">
        <v>4</v>
      </c>
      <c r="B101" s="18">
        <v>1.4</v>
      </c>
      <c r="C101" s="18">
        <v>10</v>
      </c>
      <c r="D101" s="20" t="s">
        <v>441</v>
      </c>
      <c r="E101" s="84">
        <v>118</v>
      </c>
      <c r="F101" s="84">
        <f>E101*((100-Discounts!$B$33)/100)</f>
        <v>41.3</v>
      </c>
    </row>
    <row r="102" spans="1:12" ht="27" customHeight="1" x14ac:dyDescent="0.85">
      <c r="A102" s="16">
        <v>5</v>
      </c>
      <c r="B102" s="16">
        <v>1.4</v>
      </c>
      <c r="C102" s="16">
        <v>10</v>
      </c>
      <c r="D102" s="19" t="s">
        <v>442</v>
      </c>
      <c r="E102" s="83">
        <v>147</v>
      </c>
      <c r="F102" s="83">
        <f>E102*((100-Discounts!$B$33)/100)</f>
        <v>51.449999999999996</v>
      </c>
    </row>
    <row r="103" spans="1:12" ht="27" customHeight="1" x14ac:dyDescent="0.85">
      <c r="A103" s="18">
        <v>6</v>
      </c>
      <c r="B103" s="18">
        <v>1.4</v>
      </c>
      <c r="C103" s="18">
        <v>10</v>
      </c>
      <c r="D103" s="20" t="s">
        <v>443</v>
      </c>
      <c r="E103" s="84">
        <v>176</v>
      </c>
      <c r="F103" s="84">
        <f>E103*((100-Discounts!$B$33)/100)</f>
        <v>61.599999999999994</v>
      </c>
    </row>
    <row r="104" spans="1:12" ht="27" customHeight="1" x14ac:dyDescent="0.85">
      <c r="A104" s="16">
        <v>8</v>
      </c>
      <c r="B104" s="16">
        <v>1.4</v>
      </c>
      <c r="C104" s="16">
        <v>5</v>
      </c>
      <c r="D104" s="19" t="s">
        <v>444</v>
      </c>
      <c r="E104" s="83">
        <v>233</v>
      </c>
      <c r="F104" s="83">
        <f>E104*((100-Discounts!$B$33)/100)</f>
        <v>81.55</v>
      </c>
    </row>
    <row r="105" spans="1:12" ht="27" customHeight="1" x14ac:dyDescent="0.85">
      <c r="A105" s="18">
        <v>8</v>
      </c>
      <c r="B105" s="18">
        <v>1.4</v>
      </c>
      <c r="C105" s="18">
        <v>10</v>
      </c>
      <c r="D105" s="20" t="s">
        <v>448</v>
      </c>
      <c r="E105" s="84">
        <v>233</v>
      </c>
      <c r="F105" s="84">
        <f>E105*((100-Discounts!$B$33)/100)</f>
        <v>81.55</v>
      </c>
    </row>
    <row r="106" spans="1:12" ht="27" customHeight="1" x14ac:dyDescent="0.85">
      <c r="A106" s="16">
        <v>10</v>
      </c>
      <c r="B106" s="16">
        <v>1.4</v>
      </c>
      <c r="C106" s="16">
        <v>5</v>
      </c>
      <c r="D106" s="19" t="s">
        <v>445</v>
      </c>
      <c r="E106" s="83">
        <v>290</v>
      </c>
      <c r="F106" s="83">
        <f>E106*((100-Discounts!$B$33)/100)</f>
        <v>101.5</v>
      </c>
    </row>
    <row r="107" spans="1:12" ht="27" customHeight="1" x14ac:dyDescent="0.85">
      <c r="A107" s="18">
        <v>10</v>
      </c>
      <c r="B107" s="18">
        <v>1.4</v>
      </c>
      <c r="C107" s="18">
        <v>10</v>
      </c>
      <c r="D107" s="20" t="s">
        <v>449</v>
      </c>
      <c r="E107" s="84">
        <v>290</v>
      </c>
      <c r="F107" s="84">
        <f>E107*((100-Discounts!$B$33)/100)</f>
        <v>101.5</v>
      </c>
    </row>
    <row r="108" spans="1:12" ht="27" customHeight="1" x14ac:dyDescent="0.85">
      <c r="A108" s="16">
        <v>15</v>
      </c>
      <c r="B108" s="16">
        <v>1.4</v>
      </c>
      <c r="C108" s="16">
        <v>10</v>
      </c>
      <c r="D108" s="19" t="s">
        <v>450</v>
      </c>
      <c r="E108" s="83">
        <v>427.5</v>
      </c>
      <c r="F108" s="83">
        <f>E108*((100-Discounts!$B$33)/100)</f>
        <v>149.625</v>
      </c>
    </row>
    <row r="109" spans="1:12" ht="27" customHeight="1" thickBot="1" x14ac:dyDescent="0.9">
      <c r="A109" s="18">
        <v>20</v>
      </c>
      <c r="B109" s="18">
        <v>1.4</v>
      </c>
      <c r="C109" s="18">
        <v>5</v>
      </c>
      <c r="D109" s="20" t="s">
        <v>451</v>
      </c>
      <c r="E109" s="84">
        <v>570</v>
      </c>
      <c r="F109" s="84">
        <f>E109*((100-Discounts!$B$33)/100)</f>
        <v>199.5</v>
      </c>
    </row>
    <row r="110" spans="1:12" s="11" customFormat="1" ht="40.5" customHeight="1" thickTop="1" thickBot="1" x14ac:dyDescent="0.9">
      <c r="A110" s="175" t="s">
        <v>223</v>
      </c>
      <c r="B110" s="176"/>
      <c r="C110" s="176"/>
      <c r="D110" s="186"/>
      <c r="E110" s="177"/>
      <c r="F110" s="187" t="s">
        <v>323</v>
      </c>
      <c r="H110" s="13"/>
      <c r="L110" s="12"/>
    </row>
    <row r="111" spans="1:12" s="24" customFormat="1" ht="54" customHeight="1" thickTop="1" thickBot="1" x14ac:dyDescent="0.9">
      <c r="A111" s="188" t="s">
        <v>320</v>
      </c>
      <c r="B111" s="189" t="s">
        <v>321</v>
      </c>
      <c r="C111" s="189" t="s">
        <v>311</v>
      </c>
      <c r="D111" s="190" t="s">
        <v>322</v>
      </c>
      <c r="E111" s="191" t="s">
        <v>179</v>
      </c>
      <c r="F111" s="192" t="s">
        <v>199</v>
      </c>
    </row>
    <row r="112" spans="1:12" ht="27" customHeight="1" thickTop="1" x14ac:dyDescent="0.85">
      <c r="A112" s="16">
        <v>1.5</v>
      </c>
      <c r="B112" s="16">
        <v>1.4</v>
      </c>
      <c r="C112" s="16">
        <v>20</v>
      </c>
      <c r="D112" s="19" t="s">
        <v>452</v>
      </c>
      <c r="E112" s="83">
        <v>47.5</v>
      </c>
      <c r="F112" s="83">
        <f>E112*((100-Discounts!$B$34)/100)</f>
        <v>14.25</v>
      </c>
    </row>
    <row r="113" spans="1:6" ht="27" customHeight="1" x14ac:dyDescent="0.85">
      <c r="A113" s="18">
        <v>2</v>
      </c>
      <c r="B113" s="18">
        <v>1.4</v>
      </c>
      <c r="C113" s="18">
        <v>20</v>
      </c>
      <c r="D113" s="20" t="s">
        <v>453</v>
      </c>
      <c r="E113" s="84">
        <v>52.25</v>
      </c>
      <c r="F113" s="84">
        <f>E113*((100-Discounts!$B$34)/100)</f>
        <v>15.674999999999999</v>
      </c>
    </row>
    <row r="114" spans="1:6" ht="27" customHeight="1" x14ac:dyDescent="0.85">
      <c r="A114" s="16">
        <v>3</v>
      </c>
      <c r="B114" s="16">
        <v>1.4</v>
      </c>
      <c r="C114" s="16">
        <v>20</v>
      </c>
      <c r="D114" s="19" t="s">
        <v>454</v>
      </c>
      <c r="E114" s="83">
        <v>78.5</v>
      </c>
      <c r="F114" s="83">
        <f>E114*((100-Discounts!$B$34)/100)</f>
        <v>23.55</v>
      </c>
    </row>
  </sheetData>
  <phoneticPr fontId="4" type="noConversion"/>
  <hyperlinks>
    <hyperlink ref="A1:B1" r:id="rId1" display="Para rubber sheets" xr:uid="{760F6EAD-346D-4ACF-83BA-2B8ED91D6B2E}"/>
    <hyperlink ref="F2" r:id="rId2" xr:uid="{FF3B006A-A467-46AC-8129-D60CB75C181E}"/>
    <hyperlink ref="A2" r:id="rId3" xr:uid="{C56357E8-A93B-441B-906A-7F02862D2682}"/>
    <hyperlink ref="F18" r:id="rId4" xr:uid="{ED512AFB-D398-4EAE-B9D8-1227E6D84938}"/>
    <hyperlink ref="A18" r:id="rId5" xr:uid="{00318065-78B1-4C6A-9FFC-4117097E01C5}"/>
    <hyperlink ref="F27" r:id="rId6" xr:uid="{FE67D03A-2723-4777-B882-D3BD81203DAA}"/>
    <hyperlink ref="A27" r:id="rId7" xr:uid="{5F8A00A5-9A62-4A8B-8072-08FB93D7616B}"/>
    <hyperlink ref="F53" r:id="rId8" xr:uid="{C1C5D64D-9C00-422C-82DB-E68DD6002C0E}"/>
    <hyperlink ref="A53" r:id="rId9" xr:uid="{8B300F1C-7983-4F50-A504-64D28B7F6D9B}"/>
    <hyperlink ref="F72" r:id="rId10" xr:uid="{5A54734B-705F-4A3E-8247-12BB84E1ECEA}"/>
    <hyperlink ref="A72" r:id="rId11" xr:uid="{0101933C-C1C0-417E-9F4A-15838C603C33}"/>
    <hyperlink ref="F96" r:id="rId12" xr:uid="{FE9FA972-DA06-4358-BF63-4925898184E3}"/>
    <hyperlink ref="A96" r:id="rId13" xr:uid="{3F944E2F-7C91-426B-918B-1EF64DB6D29C}"/>
    <hyperlink ref="F110" r:id="rId14" xr:uid="{3469BE6F-A24F-4685-A8ED-8FC5E55D3D58}"/>
    <hyperlink ref="A110" r:id="rId15" xr:uid="{81D98293-820D-4178-8AB8-EB34F88C0C95}"/>
    <hyperlink ref="A61" r:id="rId16" display="Centaur Black" xr:uid="{B88AEFA0-25A8-4F7B-8962-95653063409A}"/>
  </hyperlinks>
  <pageMargins left="0.51181102362204722" right="0.51181102362204722" top="0.35433070866141736" bottom="0.35433070866141736" header="0.11811023622047245" footer="0.11811023622047245"/>
  <pageSetup paperSize="9" fitToHeight="0" orientation="landscape" r:id="rId17"/>
  <headerFooter>
    <oddFooter>&amp;R&amp;P van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F7D00"/>
    <pageSetUpPr fitToPage="1"/>
  </sheetPr>
  <dimension ref="A1:L98"/>
  <sheetViews>
    <sheetView topLeftCell="A91" zoomScale="90" zoomScaleNormal="90" workbookViewId="0">
      <selection sqref="A1:F98"/>
    </sheetView>
  </sheetViews>
  <sheetFormatPr defaultColWidth="8.6640625" defaultRowHeight="27" customHeight="1" x14ac:dyDescent="0.85"/>
  <cols>
    <col min="1" max="3" width="16.5546875" style="3" customWidth="1"/>
    <col min="4" max="4" width="20.5546875" style="122" customWidth="1"/>
    <col min="5" max="6" width="20.5546875" style="116" customWidth="1"/>
    <col min="7" max="16384" width="8.6640625" style="3"/>
  </cols>
  <sheetData>
    <row r="1" spans="1:12" s="11" customFormat="1" ht="40.5" customHeight="1" thickBot="1" x14ac:dyDescent="0.9">
      <c r="A1" s="215" t="s">
        <v>516</v>
      </c>
      <c r="B1" s="215"/>
      <c r="C1" s="215"/>
      <c r="D1" s="151"/>
      <c r="E1" s="131"/>
      <c r="F1" s="131"/>
      <c r="J1" s="12"/>
    </row>
    <row r="2" spans="1:12" s="11" customFormat="1" ht="40.5" customHeight="1" thickTop="1" thickBot="1" x14ac:dyDescent="0.9">
      <c r="A2" s="41" t="s">
        <v>224</v>
      </c>
      <c r="B2" s="42"/>
      <c r="C2" s="42"/>
      <c r="D2" s="152"/>
      <c r="E2" s="132"/>
      <c r="F2" s="133" t="s">
        <v>323</v>
      </c>
      <c r="H2" s="13"/>
      <c r="L2" s="12"/>
    </row>
    <row r="3" spans="1:12" s="24" customFormat="1" ht="54" customHeight="1" thickTop="1" thickBot="1" x14ac:dyDescent="0.9">
      <c r="A3" s="43" t="s">
        <v>320</v>
      </c>
      <c r="B3" s="44" t="s">
        <v>321</v>
      </c>
      <c r="C3" s="44" t="s">
        <v>311</v>
      </c>
      <c r="D3" s="153" t="s">
        <v>322</v>
      </c>
      <c r="E3" s="134" t="s">
        <v>179</v>
      </c>
      <c r="F3" s="134" t="s">
        <v>199</v>
      </c>
    </row>
    <row r="4" spans="1:12" ht="27" customHeight="1" thickTop="1" x14ac:dyDescent="0.85">
      <c r="A4" s="16">
        <v>1</v>
      </c>
      <c r="B4" s="16">
        <v>1.4</v>
      </c>
      <c r="C4" s="16">
        <v>20</v>
      </c>
      <c r="D4" s="19" t="s">
        <v>455</v>
      </c>
      <c r="E4" s="83">
        <v>19</v>
      </c>
      <c r="F4" s="83">
        <f>E4*((100-Discounts!$B$36)/100)</f>
        <v>7.6000000000000005</v>
      </c>
    </row>
    <row r="5" spans="1:12" ht="27" customHeight="1" x14ac:dyDescent="0.85">
      <c r="A5" s="18">
        <v>2</v>
      </c>
      <c r="B5" s="18">
        <v>1.4</v>
      </c>
      <c r="C5" s="18">
        <v>10</v>
      </c>
      <c r="D5" s="20" t="s">
        <v>456</v>
      </c>
      <c r="E5" s="84">
        <v>33.75</v>
      </c>
      <c r="F5" s="84">
        <f>E5*((100-Discounts!$B$36)/100)</f>
        <v>13.5</v>
      </c>
    </row>
    <row r="6" spans="1:12" ht="27" customHeight="1" x14ac:dyDescent="0.85">
      <c r="A6" s="16">
        <v>3</v>
      </c>
      <c r="B6" s="16">
        <v>1.4</v>
      </c>
      <c r="C6" s="16">
        <v>10</v>
      </c>
      <c r="D6" s="19" t="s">
        <v>457</v>
      </c>
      <c r="E6" s="83">
        <v>47.25</v>
      </c>
      <c r="F6" s="83">
        <f>E6*((100-Discounts!$B$36)/100)</f>
        <v>18.900000000000002</v>
      </c>
    </row>
    <row r="7" spans="1:12" ht="27" customHeight="1" x14ac:dyDescent="0.85">
      <c r="A7" s="18">
        <v>4</v>
      </c>
      <c r="B7" s="18">
        <v>1.4</v>
      </c>
      <c r="C7" s="18">
        <v>10</v>
      </c>
      <c r="D7" s="20" t="s">
        <v>458</v>
      </c>
      <c r="E7" s="84">
        <v>63</v>
      </c>
      <c r="F7" s="84">
        <f>E7*((100-Discounts!$B$36)/100)</f>
        <v>25.200000000000003</v>
      </c>
    </row>
    <row r="8" spans="1:12" ht="27" customHeight="1" x14ac:dyDescent="0.85">
      <c r="A8" s="16">
        <v>5</v>
      </c>
      <c r="B8" s="16">
        <v>1.4</v>
      </c>
      <c r="C8" s="16">
        <v>10</v>
      </c>
      <c r="D8" s="19" t="s">
        <v>459</v>
      </c>
      <c r="E8" s="83">
        <v>77.5</v>
      </c>
      <c r="F8" s="83">
        <f>E8*((100-Discounts!$B$36)/100)</f>
        <v>31</v>
      </c>
    </row>
    <row r="9" spans="1:12" ht="27" customHeight="1" x14ac:dyDescent="0.85">
      <c r="A9" s="18">
        <v>6</v>
      </c>
      <c r="B9" s="18">
        <v>1.4</v>
      </c>
      <c r="C9" s="18">
        <v>10</v>
      </c>
      <c r="D9" s="20" t="s">
        <v>460</v>
      </c>
      <c r="E9" s="84">
        <v>92.25</v>
      </c>
      <c r="F9" s="84">
        <f>E9*((100-Discounts!$B$36)/100)</f>
        <v>36.9</v>
      </c>
    </row>
    <row r="10" spans="1:12" ht="27" customHeight="1" x14ac:dyDescent="0.85">
      <c r="A10" s="16">
        <v>8</v>
      </c>
      <c r="B10" s="16">
        <v>1.4</v>
      </c>
      <c r="C10" s="16">
        <v>5</v>
      </c>
      <c r="D10" s="19" t="s">
        <v>461</v>
      </c>
      <c r="E10" s="83">
        <v>121.75</v>
      </c>
      <c r="F10" s="83">
        <f>E10*((100-Discounts!$B$36)/100)</f>
        <v>48.7</v>
      </c>
    </row>
    <row r="11" spans="1:12" ht="27" customHeight="1" x14ac:dyDescent="0.85">
      <c r="A11" s="18">
        <v>10</v>
      </c>
      <c r="B11" s="18">
        <v>1.4</v>
      </c>
      <c r="C11" s="18">
        <v>5</v>
      </c>
      <c r="D11" s="20" t="s">
        <v>462</v>
      </c>
      <c r="E11" s="84">
        <v>149.75</v>
      </c>
      <c r="F11" s="84">
        <f>E11*((100-Discounts!$B$36)/100)</f>
        <v>59.900000000000006</v>
      </c>
    </row>
    <row r="12" spans="1:12" ht="27" customHeight="1" thickBot="1" x14ac:dyDescent="0.9">
      <c r="A12" s="16">
        <v>15</v>
      </c>
      <c r="B12" s="16">
        <v>1.4</v>
      </c>
      <c r="C12" s="16">
        <v>5</v>
      </c>
      <c r="D12" s="19" t="s">
        <v>463</v>
      </c>
      <c r="E12" s="83">
        <v>220.25</v>
      </c>
      <c r="F12" s="83">
        <f>E12*((100-Discounts!$B$36)/100)</f>
        <v>88.100000000000009</v>
      </c>
    </row>
    <row r="13" spans="1:12" s="11" customFormat="1" ht="40.5" customHeight="1" thickTop="1" thickBot="1" x14ac:dyDescent="0.9">
      <c r="A13" s="41" t="s">
        <v>225</v>
      </c>
      <c r="B13" s="42"/>
      <c r="C13" s="42"/>
      <c r="D13" s="152"/>
      <c r="E13" s="132"/>
      <c r="F13" s="133" t="s">
        <v>323</v>
      </c>
      <c r="H13" s="13"/>
      <c r="L13" s="12"/>
    </row>
    <row r="14" spans="1:12" s="24" customFormat="1" ht="54" customHeight="1" thickTop="1" thickBot="1" x14ac:dyDescent="0.9">
      <c r="A14" s="43" t="s">
        <v>320</v>
      </c>
      <c r="B14" s="44" t="s">
        <v>321</v>
      </c>
      <c r="C14" s="44" t="s">
        <v>311</v>
      </c>
      <c r="D14" s="153" t="s">
        <v>322</v>
      </c>
      <c r="E14" s="134" t="s">
        <v>179</v>
      </c>
      <c r="F14" s="134" t="s">
        <v>199</v>
      </c>
    </row>
    <row r="15" spans="1:12" ht="27" customHeight="1" thickTop="1" x14ac:dyDescent="0.85">
      <c r="A15" s="16">
        <v>1</v>
      </c>
      <c r="B15" s="16">
        <v>1.4</v>
      </c>
      <c r="C15" s="16">
        <v>20</v>
      </c>
      <c r="D15" s="19" t="s">
        <v>464</v>
      </c>
      <c r="E15" s="83">
        <v>20</v>
      </c>
      <c r="F15" s="83">
        <f>E15*((100-Discounts!$B$37)/100)</f>
        <v>8</v>
      </c>
    </row>
    <row r="16" spans="1:12" ht="27" customHeight="1" x14ac:dyDescent="0.85">
      <c r="A16" s="18">
        <v>2</v>
      </c>
      <c r="B16" s="18">
        <v>1.4</v>
      </c>
      <c r="C16" s="18">
        <v>10</v>
      </c>
      <c r="D16" s="20" t="s">
        <v>465</v>
      </c>
      <c r="E16" s="84">
        <v>35.25</v>
      </c>
      <c r="F16" s="84">
        <f>E16*((100-Discounts!$B$37)/100)</f>
        <v>14.100000000000001</v>
      </c>
    </row>
    <row r="17" spans="1:12" ht="27" customHeight="1" x14ac:dyDescent="0.85">
      <c r="A17" s="16">
        <v>3</v>
      </c>
      <c r="B17" s="16">
        <v>1.4</v>
      </c>
      <c r="C17" s="16">
        <v>10</v>
      </c>
      <c r="D17" s="19" t="s">
        <v>466</v>
      </c>
      <c r="E17" s="83">
        <v>49.75</v>
      </c>
      <c r="F17" s="83">
        <f>E17*((100-Discounts!$B$37)/100)</f>
        <v>19.900000000000002</v>
      </c>
    </row>
    <row r="18" spans="1:12" ht="27" customHeight="1" x14ac:dyDescent="0.85">
      <c r="A18" s="18">
        <v>4</v>
      </c>
      <c r="B18" s="18">
        <v>1.4</v>
      </c>
      <c r="C18" s="18">
        <v>10</v>
      </c>
      <c r="D18" s="20" t="s">
        <v>467</v>
      </c>
      <c r="E18" s="84">
        <v>66.5</v>
      </c>
      <c r="F18" s="84">
        <f>E18*((100-Discounts!$B$37)/100)</f>
        <v>26.6</v>
      </c>
    </row>
    <row r="19" spans="1:12" ht="27" customHeight="1" x14ac:dyDescent="0.85">
      <c r="A19" s="16">
        <v>5</v>
      </c>
      <c r="B19" s="16">
        <v>1.4</v>
      </c>
      <c r="C19" s="16">
        <v>10</v>
      </c>
      <c r="D19" s="19" t="s">
        <v>468</v>
      </c>
      <c r="E19" s="83">
        <v>81.25</v>
      </c>
      <c r="F19" s="83">
        <f>E19*((100-Discounts!$B$37)/100)</f>
        <v>32.5</v>
      </c>
    </row>
    <row r="20" spans="1:12" ht="27" customHeight="1" x14ac:dyDescent="0.85">
      <c r="A20" s="18">
        <v>6</v>
      </c>
      <c r="B20" s="18">
        <v>1.4</v>
      </c>
      <c r="C20" s="18">
        <v>10</v>
      </c>
      <c r="D20" s="20" t="s">
        <v>469</v>
      </c>
      <c r="E20" s="84">
        <v>96.75</v>
      </c>
      <c r="F20" s="84">
        <f>E20*((100-Discounts!$B$37)/100)</f>
        <v>38.700000000000003</v>
      </c>
    </row>
    <row r="21" spans="1:12" ht="27" customHeight="1" x14ac:dyDescent="0.85">
      <c r="A21" s="16">
        <v>8</v>
      </c>
      <c r="B21" s="16">
        <v>1.4</v>
      </c>
      <c r="C21" s="16">
        <v>5</v>
      </c>
      <c r="D21" s="19" t="s">
        <v>470</v>
      </c>
      <c r="E21" s="83">
        <v>127.5</v>
      </c>
      <c r="F21" s="83">
        <f>E21*((100-Discounts!$B$37)/100)</f>
        <v>51</v>
      </c>
    </row>
    <row r="22" spans="1:12" ht="27" customHeight="1" thickBot="1" x14ac:dyDescent="0.9">
      <c r="A22" s="18">
        <v>10</v>
      </c>
      <c r="B22" s="18">
        <v>1.4</v>
      </c>
      <c r="C22" s="18">
        <v>5</v>
      </c>
      <c r="D22" s="20" t="s">
        <v>471</v>
      </c>
      <c r="E22" s="84">
        <v>157.75</v>
      </c>
      <c r="F22" s="84">
        <f>E22*((100-Discounts!$B$37)/100)</f>
        <v>63.1</v>
      </c>
    </row>
    <row r="23" spans="1:12" s="11" customFormat="1" ht="40.5" customHeight="1" thickTop="1" thickBot="1" x14ac:dyDescent="0.9">
      <c r="A23" s="41" t="s">
        <v>226</v>
      </c>
      <c r="B23" s="42"/>
      <c r="C23" s="42"/>
      <c r="D23" s="152"/>
      <c r="E23" s="132"/>
      <c r="F23" s="133" t="s">
        <v>323</v>
      </c>
      <c r="H23" s="13"/>
      <c r="L23" s="12"/>
    </row>
    <row r="24" spans="1:12" s="24" customFormat="1" ht="54" customHeight="1" thickTop="1" thickBot="1" x14ac:dyDescent="0.9">
      <c r="A24" s="43" t="s">
        <v>320</v>
      </c>
      <c r="B24" s="44" t="s">
        <v>321</v>
      </c>
      <c r="C24" s="44" t="s">
        <v>311</v>
      </c>
      <c r="D24" s="153" t="s">
        <v>322</v>
      </c>
      <c r="E24" s="134" t="s">
        <v>179</v>
      </c>
      <c r="F24" s="134" t="s">
        <v>199</v>
      </c>
    </row>
    <row r="25" spans="1:12" ht="27" customHeight="1" thickTop="1" x14ac:dyDescent="0.85">
      <c r="A25" s="16">
        <v>1</v>
      </c>
      <c r="B25" s="16">
        <v>1.4</v>
      </c>
      <c r="C25" s="16">
        <v>20</v>
      </c>
      <c r="D25" s="19" t="s">
        <v>472</v>
      </c>
      <c r="E25" s="83">
        <v>19.75</v>
      </c>
      <c r="F25" s="83">
        <f>E25*((100-Discounts!$B$38)/100)</f>
        <v>7.9</v>
      </c>
    </row>
    <row r="26" spans="1:12" ht="27" customHeight="1" x14ac:dyDescent="0.85">
      <c r="A26" s="18">
        <v>1.5</v>
      </c>
      <c r="B26" s="18">
        <v>1.4</v>
      </c>
      <c r="C26" s="18">
        <v>15</v>
      </c>
      <c r="D26" s="20" t="s">
        <v>473</v>
      </c>
      <c r="E26" s="84">
        <v>27.75</v>
      </c>
      <c r="F26" s="84">
        <f>E26*((100-Discounts!$B$38)/100)</f>
        <v>11.100000000000001</v>
      </c>
    </row>
    <row r="27" spans="1:12" ht="27" customHeight="1" x14ac:dyDescent="0.85">
      <c r="A27" s="16">
        <v>2</v>
      </c>
      <c r="B27" s="16">
        <v>1.4</v>
      </c>
      <c r="C27" s="16">
        <v>10</v>
      </c>
      <c r="D27" s="19" t="s">
        <v>474</v>
      </c>
      <c r="E27" s="83">
        <v>35.5</v>
      </c>
      <c r="F27" s="83">
        <f>E27*((100-Discounts!$B$38)/100)</f>
        <v>14.200000000000001</v>
      </c>
    </row>
    <row r="28" spans="1:12" ht="27" customHeight="1" x14ac:dyDescent="0.85">
      <c r="A28" s="18">
        <v>3</v>
      </c>
      <c r="B28" s="18">
        <v>1.4</v>
      </c>
      <c r="C28" s="18">
        <v>10</v>
      </c>
      <c r="D28" s="20" t="s">
        <v>475</v>
      </c>
      <c r="E28" s="84">
        <v>50.25</v>
      </c>
      <c r="F28" s="84">
        <f>E28*((100-Discounts!$B$38)/100)</f>
        <v>20.100000000000001</v>
      </c>
    </row>
    <row r="29" spans="1:12" ht="27" customHeight="1" x14ac:dyDescent="0.85">
      <c r="A29" s="16">
        <v>4</v>
      </c>
      <c r="B29" s="16">
        <v>1.4</v>
      </c>
      <c r="C29" s="16">
        <v>10</v>
      </c>
      <c r="D29" s="19" t="s">
        <v>476</v>
      </c>
      <c r="E29" s="83">
        <v>66.5</v>
      </c>
      <c r="F29" s="83">
        <f>E29*((100-Discounts!$B$38)/100)</f>
        <v>26.6</v>
      </c>
    </row>
    <row r="30" spans="1:12" ht="27" customHeight="1" x14ac:dyDescent="0.85">
      <c r="A30" s="18">
        <v>5</v>
      </c>
      <c r="B30" s="18">
        <v>1.4</v>
      </c>
      <c r="C30" s="18">
        <v>10</v>
      </c>
      <c r="D30" s="20" t="s">
        <v>477</v>
      </c>
      <c r="E30" s="84">
        <v>82.5</v>
      </c>
      <c r="F30" s="84">
        <f>E30*((100-Discounts!$B$38)/100)</f>
        <v>33</v>
      </c>
    </row>
    <row r="31" spans="1:12" ht="27" customHeight="1" x14ac:dyDescent="0.85">
      <c r="A31" s="16">
        <v>6</v>
      </c>
      <c r="B31" s="16">
        <v>1.4</v>
      </c>
      <c r="C31" s="16">
        <v>10</v>
      </c>
      <c r="D31" s="19" t="s">
        <v>478</v>
      </c>
      <c r="E31" s="83">
        <v>98</v>
      </c>
      <c r="F31" s="83">
        <f>E31*((100-Discounts!$B$38)/100)</f>
        <v>39.200000000000003</v>
      </c>
    </row>
    <row r="32" spans="1:12" ht="27" customHeight="1" x14ac:dyDescent="0.85">
      <c r="A32" s="18">
        <v>8</v>
      </c>
      <c r="B32" s="18">
        <v>1.4</v>
      </c>
      <c r="C32" s="18">
        <v>5</v>
      </c>
      <c r="D32" s="20" t="s">
        <v>479</v>
      </c>
      <c r="E32" s="84">
        <v>129.5</v>
      </c>
      <c r="F32" s="84">
        <f>E32*((100-Discounts!$B$38)/100)</f>
        <v>51.800000000000004</v>
      </c>
    </row>
    <row r="33" spans="1:12" ht="27" customHeight="1" thickBot="1" x14ac:dyDescent="0.9">
      <c r="A33" s="16">
        <v>10</v>
      </c>
      <c r="B33" s="16">
        <v>1.4</v>
      </c>
      <c r="C33" s="16">
        <v>5</v>
      </c>
      <c r="D33" s="19" t="s">
        <v>480</v>
      </c>
      <c r="E33" s="83">
        <v>160.75</v>
      </c>
      <c r="F33" s="83">
        <f>E33*((100-Discounts!$B$38)/100)</f>
        <v>64.3</v>
      </c>
    </row>
    <row r="34" spans="1:12" s="11" customFormat="1" ht="40.5" customHeight="1" thickTop="1" thickBot="1" x14ac:dyDescent="0.9">
      <c r="A34" s="41" t="s">
        <v>227</v>
      </c>
      <c r="B34" s="42"/>
      <c r="C34" s="42"/>
      <c r="D34" s="152"/>
      <c r="E34" s="132"/>
      <c r="F34" s="133" t="s">
        <v>323</v>
      </c>
      <c r="H34" s="13"/>
      <c r="L34" s="12"/>
    </row>
    <row r="35" spans="1:12" s="24" customFormat="1" ht="54" customHeight="1" thickTop="1" thickBot="1" x14ac:dyDescent="0.9">
      <c r="A35" s="43" t="s">
        <v>320</v>
      </c>
      <c r="B35" s="44" t="s">
        <v>321</v>
      </c>
      <c r="C35" s="44" t="s">
        <v>311</v>
      </c>
      <c r="D35" s="153" t="s">
        <v>322</v>
      </c>
      <c r="E35" s="134" t="s">
        <v>179</v>
      </c>
      <c r="F35" s="134" t="s">
        <v>199</v>
      </c>
    </row>
    <row r="36" spans="1:12" ht="27" customHeight="1" thickTop="1" x14ac:dyDescent="0.85">
      <c r="A36" s="16">
        <v>1</v>
      </c>
      <c r="B36" s="16">
        <v>1.4</v>
      </c>
      <c r="C36" s="16">
        <v>10</v>
      </c>
      <c r="D36" s="19" t="s">
        <v>481</v>
      </c>
      <c r="E36" s="83">
        <v>35.5</v>
      </c>
      <c r="F36" s="83">
        <f>E36*((100-Discounts!$B$39)/100)</f>
        <v>14.200000000000001</v>
      </c>
    </row>
    <row r="37" spans="1:12" ht="27" customHeight="1" x14ac:dyDescent="0.85">
      <c r="A37" s="18">
        <v>2</v>
      </c>
      <c r="B37" s="18">
        <v>1.4</v>
      </c>
      <c r="C37" s="18">
        <v>10</v>
      </c>
      <c r="D37" s="20" t="s">
        <v>482</v>
      </c>
      <c r="E37" s="84">
        <v>56.5</v>
      </c>
      <c r="F37" s="84">
        <f>E37*((100-Discounts!$B$39)/100)</f>
        <v>22.6</v>
      </c>
    </row>
    <row r="38" spans="1:12" ht="27" customHeight="1" x14ac:dyDescent="0.85">
      <c r="A38" s="16">
        <v>3</v>
      </c>
      <c r="B38" s="16">
        <v>1.4</v>
      </c>
      <c r="C38" s="16">
        <v>10</v>
      </c>
      <c r="D38" s="19" t="s">
        <v>483</v>
      </c>
      <c r="E38" s="83">
        <v>86.5</v>
      </c>
      <c r="F38" s="83">
        <f>E38*((100-Discounts!$B$39)/100)</f>
        <v>34.6</v>
      </c>
    </row>
    <row r="39" spans="1:12" ht="27" customHeight="1" x14ac:dyDescent="0.85">
      <c r="A39" s="18">
        <v>4</v>
      </c>
      <c r="B39" s="18">
        <v>1.4</v>
      </c>
      <c r="C39" s="18">
        <v>10</v>
      </c>
      <c r="D39" s="20" t="s">
        <v>484</v>
      </c>
      <c r="E39" s="84">
        <v>115.25</v>
      </c>
      <c r="F39" s="84">
        <f>E39*((100-Discounts!$B$39)/100)</f>
        <v>46.1</v>
      </c>
    </row>
    <row r="40" spans="1:12" ht="27" customHeight="1" thickBot="1" x14ac:dyDescent="0.9">
      <c r="A40" s="16">
        <v>5</v>
      </c>
      <c r="B40" s="16">
        <v>1.4</v>
      </c>
      <c r="C40" s="16">
        <v>10</v>
      </c>
      <c r="D40" s="19" t="s">
        <v>485</v>
      </c>
      <c r="E40" s="83">
        <v>144</v>
      </c>
      <c r="F40" s="83">
        <f>E40*((100-Discounts!$B$39)/100)</f>
        <v>57.6</v>
      </c>
    </row>
    <row r="41" spans="1:12" s="11" customFormat="1" ht="40.5" customHeight="1" thickTop="1" thickBot="1" x14ac:dyDescent="0.9">
      <c r="A41" s="41" t="s">
        <v>233</v>
      </c>
      <c r="B41" s="42"/>
      <c r="C41" s="42"/>
      <c r="D41" s="152"/>
      <c r="E41" s="132"/>
      <c r="F41" s="133" t="s">
        <v>323</v>
      </c>
      <c r="H41" s="13"/>
      <c r="L41" s="12"/>
    </row>
    <row r="42" spans="1:12" s="24" customFormat="1" ht="54" customHeight="1" thickTop="1" thickBot="1" x14ac:dyDescent="0.9">
      <c r="A42" s="43" t="s">
        <v>320</v>
      </c>
      <c r="B42" s="44" t="s">
        <v>321</v>
      </c>
      <c r="C42" s="44" t="s">
        <v>311</v>
      </c>
      <c r="D42" s="153" t="s">
        <v>322</v>
      </c>
      <c r="E42" s="134" t="s">
        <v>179</v>
      </c>
      <c r="F42" s="134" t="s">
        <v>199</v>
      </c>
    </row>
    <row r="43" spans="1:12" ht="27" customHeight="1" thickTop="1" x14ac:dyDescent="0.85">
      <c r="A43" s="16">
        <v>1</v>
      </c>
      <c r="B43" s="16">
        <v>1.2</v>
      </c>
      <c r="C43" s="16">
        <v>10</v>
      </c>
      <c r="D43" s="19" t="s">
        <v>486</v>
      </c>
      <c r="E43" s="83">
        <v>26.5</v>
      </c>
      <c r="F43" s="83">
        <f>E43*((100-Discounts!$B$40)/100)</f>
        <v>10.600000000000001</v>
      </c>
    </row>
    <row r="44" spans="1:12" ht="27" customHeight="1" x14ac:dyDescent="0.85">
      <c r="A44" s="18">
        <v>1.5</v>
      </c>
      <c r="B44" s="18">
        <v>1.2</v>
      </c>
      <c r="C44" s="18">
        <v>10</v>
      </c>
      <c r="D44" s="20" t="s">
        <v>487</v>
      </c>
      <c r="E44" s="84">
        <v>38.5</v>
      </c>
      <c r="F44" s="84">
        <f>E44*((100-Discounts!$B$40)/100)</f>
        <v>15.4</v>
      </c>
    </row>
    <row r="45" spans="1:12" ht="27" customHeight="1" x14ac:dyDescent="0.85">
      <c r="A45" s="16">
        <v>2</v>
      </c>
      <c r="B45" s="16">
        <v>1.2</v>
      </c>
      <c r="C45" s="16">
        <v>10</v>
      </c>
      <c r="D45" s="19" t="s">
        <v>488</v>
      </c>
      <c r="E45" s="83">
        <v>50</v>
      </c>
      <c r="F45" s="83">
        <f>E45*((100-Discounts!$B$40)/100)</f>
        <v>20</v>
      </c>
    </row>
    <row r="46" spans="1:12" ht="27" customHeight="1" x14ac:dyDescent="0.85">
      <c r="A46" s="18">
        <v>3</v>
      </c>
      <c r="B46" s="18">
        <v>1.2</v>
      </c>
      <c r="C46" s="18">
        <v>10</v>
      </c>
      <c r="D46" s="20" t="s">
        <v>489</v>
      </c>
      <c r="E46" s="84">
        <v>72.25</v>
      </c>
      <c r="F46" s="84">
        <f>E46*((100-Discounts!$B$40)/100)</f>
        <v>28.900000000000002</v>
      </c>
    </row>
    <row r="47" spans="1:12" ht="27" customHeight="1" x14ac:dyDescent="0.85">
      <c r="A47" s="16">
        <v>4</v>
      </c>
      <c r="B47" s="16">
        <v>1.2</v>
      </c>
      <c r="C47" s="16">
        <v>10</v>
      </c>
      <c r="D47" s="19" t="s">
        <v>490</v>
      </c>
      <c r="E47" s="83">
        <v>96.25</v>
      </c>
      <c r="F47" s="83">
        <f>E47*((100-Discounts!$B$40)/100)</f>
        <v>38.5</v>
      </c>
    </row>
    <row r="48" spans="1:12" ht="27" customHeight="1" x14ac:dyDescent="0.85">
      <c r="A48" s="18">
        <v>5</v>
      </c>
      <c r="B48" s="18">
        <v>1.2</v>
      </c>
      <c r="C48" s="18">
        <v>10</v>
      </c>
      <c r="D48" s="20" t="s">
        <v>491</v>
      </c>
      <c r="E48" s="84">
        <v>120.5</v>
      </c>
      <c r="F48" s="84">
        <f>E48*((100-Discounts!$B$40)/100)</f>
        <v>48.2</v>
      </c>
    </row>
    <row r="49" spans="1:12" ht="27" customHeight="1" x14ac:dyDescent="0.85">
      <c r="A49" s="16">
        <v>6</v>
      </c>
      <c r="B49" s="16">
        <v>1.2</v>
      </c>
      <c r="C49" s="16">
        <v>10</v>
      </c>
      <c r="D49" s="19" t="s">
        <v>492</v>
      </c>
      <c r="E49" s="83">
        <v>144.5</v>
      </c>
      <c r="F49" s="83">
        <f>E49*((100-Discounts!$B$40)/100)</f>
        <v>57.800000000000004</v>
      </c>
    </row>
    <row r="50" spans="1:12" ht="27" customHeight="1" x14ac:dyDescent="0.85">
      <c r="A50" s="18">
        <v>8</v>
      </c>
      <c r="B50" s="18">
        <v>1.2</v>
      </c>
      <c r="C50" s="18">
        <v>5</v>
      </c>
      <c r="D50" s="20" t="s">
        <v>493</v>
      </c>
      <c r="E50" s="84">
        <v>192.5</v>
      </c>
      <c r="F50" s="84">
        <f>E50*((100-Discounts!$B$40)/100)</f>
        <v>77</v>
      </c>
    </row>
    <row r="51" spans="1:12" ht="27" customHeight="1" x14ac:dyDescent="0.85">
      <c r="A51" s="16">
        <v>8</v>
      </c>
      <c r="B51" s="16">
        <v>1.2</v>
      </c>
      <c r="C51" s="16">
        <v>10</v>
      </c>
      <c r="D51" s="19" t="s">
        <v>493</v>
      </c>
      <c r="E51" s="83">
        <v>192.5</v>
      </c>
      <c r="F51" s="83">
        <f>E51*((100-Discounts!$B$40)/100)</f>
        <v>77</v>
      </c>
    </row>
    <row r="52" spans="1:12" ht="27" customHeight="1" x14ac:dyDescent="0.85">
      <c r="A52" s="18">
        <v>10</v>
      </c>
      <c r="B52" s="18">
        <v>1.2</v>
      </c>
      <c r="C52" s="18">
        <v>5</v>
      </c>
      <c r="D52" s="20" t="s">
        <v>494</v>
      </c>
      <c r="E52" s="84">
        <v>240.75</v>
      </c>
      <c r="F52" s="84">
        <f>E52*((100-Discounts!$B$40)/100)</f>
        <v>96.300000000000011</v>
      </c>
    </row>
    <row r="53" spans="1:12" ht="27" customHeight="1" x14ac:dyDescent="0.85">
      <c r="A53" s="16">
        <v>10</v>
      </c>
      <c r="B53" s="16">
        <v>1.2</v>
      </c>
      <c r="C53" s="16">
        <v>10</v>
      </c>
      <c r="D53" s="19" t="s">
        <v>494</v>
      </c>
      <c r="E53" s="83">
        <v>240.75</v>
      </c>
      <c r="F53" s="83">
        <f>E53*((100-Discounts!$B$40)/100)</f>
        <v>96.300000000000011</v>
      </c>
    </row>
    <row r="54" spans="1:12" ht="27" customHeight="1" thickBot="1" x14ac:dyDescent="0.9">
      <c r="A54" s="18">
        <v>12</v>
      </c>
      <c r="B54" s="18">
        <v>1.2</v>
      </c>
      <c r="C54" s="18">
        <v>5</v>
      </c>
      <c r="D54" s="20" t="s">
        <v>495</v>
      </c>
      <c r="E54" s="84">
        <v>288.75</v>
      </c>
      <c r="F54" s="84">
        <f>E54*((100-Discounts!$B$40)/100)</f>
        <v>115.5</v>
      </c>
    </row>
    <row r="55" spans="1:12" s="11" customFormat="1" ht="40.5" customHeight="1" thickTop="1" thickBot="1" x14ac:dyDescent="0.9">
      <c r="A55" s="41" t="s">
        <v>235</v>
      </c>
      <c r="B55" s="42"/>
      <c r="C55" s="42"/>
      <c r="D55" s="152"/>
      <c r="E55" s="132"/>
      <c r="F55" s="133" t="s">
        <v>323</v>
      </c>
      <c r="H55" s="13"/>
      <c r="L55" s="12"/>
    </row>
    <row r="56" spans="1:12" s="24" customFormat="1" ht="54" customHeight="1" thickTop="1" thickBot="1" x14ac:dyDescent="0.9">
      <c r="A56" s="43" t="s">
        <v>320</v>
      </c>
      <c r="B56" s="44" t="s">
        <v>321</v>
      </c>
      <c r="C56" s="44" t="s">
        <v>311</v>
      </c>
      <c r="D56" s="153" t="s">
        <v>322</v>
      </c>
      <c r="E56" s="134" t="s">
        <v>179</v>
      </c>
      <c r="F56" s="134" t="s">
        <v>199</v>
      </c>
    </row>
    <row r="57" spans="1:12" ht="27" customHeight="1" thickTop="1" x14ac:dyDescent="0.85">
      <c r="A57" s="16">
        <v>1</v>
      </c>
      <c r="B57" s="16">
        <v>1.2</v>
      </c>
      <c r="C57" s="16">
        <v>10</v>
      </c>
      <c r="D57" s="19" t="s">
        <v>496</v>
      </c>
      <c r="E57" s="83">
        <v>26.5</v>
      </c>
      <c r="F57" s="83">
        <f>E57*((100-Discounts!$B$41)/100)</f>
        <v>10.600000000000001</v>
      </c>
    </row>
    <row r="58" spans="1:12" ht="27" customHeight="1" x14ac:dyDescent="0.85">
      <c r="A58" s="18">
        <v>1.5</v>
      </c>
      <c r="B58" s="18">
        <v>1.2</v>
      </c>
      <c r="C58" s="18">
        <v>10</v>
      </c>
      <c r="D58" s="20" t="s">
        <v>497</v>
      </c>
      <c r="E58" s="84">
        <v>38.5</v>
      </c>
      <c r="F58" s="84">
        <f>E58*((100-Discounts!$B$41)/100)</f>
        <v>15.4</v>
      </c>
    </row>
    <row r="59" spans="1:12" ht="27" customHeight="1" x14ac:dyDescent="0.85">
      <c r="A59" s="16">
        <v>2</v>
      </c>
      <c r="B59" s="16">
        <v>1.2</v>
      </c>
      <c r="C59" s="16">
        <v>10</v>
      </c>
      <c r="D59" s="19" t="s">
        <v>498</v>
      </c>
      <c r="E59" s="83">
        <v>50</v>
      </c>
      <c r="F59" s="83">
        <f>E59*((100-Discounts!$B$41)/100)</f>
        <v>20</v>
      </c>
    </row>
    <row r="60" spans="1:12" ht="27" customHeight="1" x14ac:dyDescent="0.85">
      <c r="A60" s="18">
        <v>3</v>
      </c>
      <c r="B60" s="18">
        <v>1.2</v>
      </c>
      <c r="C60" s="18">
        <v>10</v>
      </c>
      <c r="D60" s="20" t="s">
        <v>499</v>
      </c>
      <c r="E60" s="84">
        <v>72.25</v>
      </c>
      <c r="F60" s="84">
        <f>E60*((100-Discounts!$B$41)/100)</f>
        <v>28.900000000000002</v>
      </c>
    </row>
    <row r="61" spans="1:12" ht="27" customHeight="1" x14ac:dyDescent="0.85">
      <c r="A61" s="16">
        <v>4</v>
      </c>
      <c r="B61" s="16">
        <v>1.2</v>
      </c>
      <c r="C61" s="16">
        <v>10</v>
      </c>
      <c r="D61" s="19" t="s">
        <v>500</v>
      </c>
      <c r="E61" s="83">
        <v>96.25</v>
      </c>
      <c r="F61" s="83">
        <f>E61*((100-Discounts!$B$41)/100)</f>
        <v>38.5</v>
      </c>
    </row>
    <row r="62" spans="1:12" ht="27" customHeight="1" x14ac:dyDescent="0.85">
      <c r="A62" s="18">
        <v>5</v>
      </c>
      <c r="B62" s="18">
        <v>1.2</v>
      </c>
      <c r="C62" s="18">
        <v>10</v>
      </c>
      <c r="D62" s="20" t="s">
        <v>501</v>
      </c>
      <c r="E62" s="84">
        <v>120.5</v>
      </c>
      <c r="F62" s="84">
        <f>E62*((100-Discounts!$B$41)/100)</f>
        <v>48.2</v>
      </c>
    </row>
    <row r="63" spans="1:12" ht="27" customHeight="1" x14ac:dyDescent="0.85">
      <c r="A63" s="16">
        <v>6</v>
      </c>
      <c r="B63" s="16">
        <v>1.2</v>
      </c>
      <c r="C63" s="16">
        <v>10</v>
      </c>
      <c r="D63" s="19" t="s">
        <v>502</v>
      </c>
      <c r="E63" s="83">
        <v>144.5</v>
      </c>
      <c r="F63" s="83">
        <f>E63*((100-Discounts!$B$41)/100)</f>
        <v>57.800000000000004</v>
      </c>
    </row>
    <row r="64" spans="1:12" ht="27" customHeight="1" x14ac:dyDescent="0.85">
      <c r="A64" s="18">
        <v>8</v>
      </c>
      <c r="B64" s="18">
        <v>1.2</v>
      </c>
      <c r="C64" s="18">
        <v>5</v>
      </c>
      <c r="D64" s="20" t="s">
        <v>503</v>
      </c>
      <c r="E64" s="84">
        <v>192.5</v>
      </c>
      <c r="F64" s="84">
        <f>E64*((100-Discounts!$B$41)/100)</f>
        <v>77</v>
      </c>
    </row>
    <row r="65" spans="1:12" ht="27" customHeight="1" x14ac:dyDescent="0.85">
      <c r="A65" s="16">
        <v>8</v>
      </c>
      <c r="B65" s="16">
        <v>1.2</v>
      </c>
      <c r="C65" s="16">
        <v>10</v>
      </c>
      <c r="D65" s="19" t="s">
        <v>503</v>
      </c>
      <c r="E65" s="83">
        <v>192.5</v>
      </c>
      <c r="F65" s="83">
        <f>E65*((100-Discounts!$B$41)/100)</f>
        <v>77</v>
      </c>
    </row>
    <row r="66" spans="1:12" ht="27" customHeight="1" x14ac:dyDescent="0.85">
      <c r="A66" s="18">
        <v>10</v>
      </c>
      <c r="B66" s="18">
        <v>1.2</v>
      </c>
      <c r="C66" s="18">
        <v>5</v>
      </c>
      <c r="D66" s="20" t="s">
        <v>504</v>
      </c>
      <c r="E66" s="84">
        <v>240.75</v>
      </c>
      <c r="F66" s="84">
        <f>E66*((100-Discounts!$B$41)/100)</f>
        <v>96.300000000000011</v>
      </c>
    </row>
    <row r="67" spans="1:12" ht="27" customHeight="1" thickBot="1" x14ac:dyDescent="0.9">
      <c r="A67" s="16">
        <v>10</v>
      </c>
      <c r="B67" s="16">
        <v>1.2</v>
      </c>
      <c r="C67" s="16">
        <v>10</v>
      </c>
      <c r="D67" s="19" t="s">
        <v>504</v>
      </c>
      <c r="E67" s="83">
        <v>240.75</v>
      </c>
      <c r="F67" s="83">
        <f>E67*((100-Discounts!$B$41)/100)</f>
        <v>96.300000000000011</v>
      </c>
    </row>
    <row r="68" spans="1:12" s="11" customFormat="1" ht="40.5" customHeight="1" thickTop="1" thickBot="1" x14ac:dyDescent="0.9">
      <c r="A68" s="41" t="s">
        <v>515</v>
      </c>
      <c r="B68" s="42"/>
      <c r="C68" s="42"/>
      <c r="D68" s="152"/>
      <c r="E68" s="132"/>
      <c r="F68" s="133" t="s">
        <v>323</v>
      </c>
      <c r="H68" s="13"/>
      <c r="L68" s="12"/>
    </row>
    <row r="69" spans="1:12" s="24" customFormat="1" ht="54" customHeight="1" thickTop="1" thickBot="1" x14ac:dyDescent="0.9">
      <c r="A69" s="43" t="s">
        <v>320</v>
      </c>
      <c r="B69" s="44" t="s">
        <v>321</v>
      </c>
      <c r="C69" s="44" t="s">
        <v>311</v>
      </c>
      <c r="D69" s="153" t="s">
        <v>322</v>
      </c>
      <c r="E69" s="134" t="s">
        <v>179</v>
      </c>
      <c r="F69" s="134" t="s">
        <v>199</v>
      </c>
    </row>
    <row r="70" spans="1:12" ht="27" customHeight="1" thickTop="1" x14ac:dyDescent="0.85">
      <c r="A70" s="16">
        <v>1</v>
      </c>
      <c r="B70" s="16">
        <v>1.2</v>
      </c>
      <c r="C70" s="16">
        <v>10</v>
      </c>
      <c r="D70" s="19" t="s">
        <v>505</v>
      </c>
      <c r="E70" s="83">
        <v>26.5</v>
      </c>
      <c r="F70" s="83">
        <f>E70*((100-Discounts!$B$42)/100)</f>
        <v>10.600000000000001</v>
      </c>
    </row>
    <row r="71" spans="1:12" ht="27" customHeight="1" x14ac:dyDescent="0.85">
      <c r="A71" s="18">
        <v>1.5</v>
      </c>
      <c r="B71" s="18">
        <v>1.2</v>
      </c>
      <c r="C71" s="18">
        <v>10</v>
      </c>
      <c r="D71" s="20" t="s">
        <v>506</v>
      </c>
      <c r="E71" s="84">
        <v>38.5</v>
      </c>
      <c r="F71" s="84">
        <f>E71*((100-Discounts!$B$42)/100)</f>
        <v>15.4</v>
      </c>
    </row>
    <row r="72" spans="1:12" ht="27" customHeight="1" x14ac:dyDescent="0.85">
      <c r="A72" s="16">
        <v>2</v>
      </c>
      <c r="B72" s="16">
        <v>1.2</v>
      </c>
      <c r="C72" s="16">
        <v>10</v>
      </c>
      <c r="D72" s="19" t="s">
        <v>507</v>
      </c>
      <c r="E72" s="83">
        <v>50</v>
      </c>
      <c r="F72" s="83">
        <f>E72*((100-Discounts!$B$42)/100)</f>
        <v>20</v>
      </c>
    </row>
    <row r="73" spans="1:12" ht="27" customHeight="1" x14ac:dyDescent="0.85">
      <c r="A73" s="18">
        <v>3</v>
      </c>
      <c r="B73" s="18">
        <v>1.2</v>
      </c>
      <c r="C73" s="18">
        <v>10</v>
      </c>
      <c r="D73" s="20" t="s">
        <v>508</v>
      </c>
      <c r="E73" s="84">
        <v>72.25</v>
      </c>
      <c r="F73" s="84">
        <f>E73*((100-Discounts!$B$42)/100)</f>
        <v>28.900000000000002</v>
      </c>
    </row>
    <row r="74" spans="1:12" ht="27" customHeight="1" x14ac:dyDescent="0.85">
      <c r="A74" s="16">
        <v>4</v>
      </c>
      <c r="B74" s="16">
        <v>1.2</v>
      </c>
      <c r="C74" s="16">
        <v>10</v>
      </c>
      <c r="D74" s="19" t="s">
        <v>509</v>
      </c>
      <c r="E74" s="83">
        <v>96.25</v>
      </c>
      <c r="F74" s="83">
        <f>E74*((100-Discounts!$B$42)/100)</f>
        <v>38.5</v>
      </c>
    </row>
    <row r="75" spans="1:12" ht="27" customHeight="1" x14ac:dyDescent="0.85">
      <c r="A75" s="18">
        <v>5</v>
      </c>
      <c r="B75" s="18">
        <v>1.2</v>
      </c>
      <c r="C75" s="18">
        <v>10</v>
      </c>
      <c r="D75" s="20" t="s">
        <v>510</v>
      </c>
      <c r="E75" s="84">
        <v>120.5</v>
      </c>
      <c r="F75" s="84">
        <f>E75*((100-Discounts!$B$42)/100)</f>
        <v>48.2</v>
      </c>
    </row>
    <row r="76" spans="1:12" ht="27" customHeight="1" x14ac:dyDescent="0.85">
      <c r="A76" s="16">
        <v>6</v>
      </c>
      <c r="B76" s="16">
        <v>1.2</v>
      </c>
      <c r="C76" s="16">
        <v>10</v>
      </c>
      <c r="D76" s="19" t="s">
        <v>511</v>
      </c>
      <c r="E76" s="83">
        <v>144.5</v>
      </c>
      <c r="F76" s="83">
        <f>E76*((100-Discounts!$B$42)/100)</f>
        <v>57.800000000000004</v>
      </c>
    </row>
    <row r="77" spans="1:12" ht="27" customHeight="1" x14ac:dyDescent="0.85">
      <c r="A77" s="18">
        <v>8</v>
      </c>
      <c r="B77" s="18">
        <v>1.2</v>
      </c>
      <c r="C77" s="18">
        <v>5</v>
      </c>
      <c r="D77" s="20" t="s">
        <v>512</v>
      </c>
      <c r="E77" s="84">
        <v>192.5</v>
      </c>
      <c r="F77" s="84">
        <f>E77*((100-Discounts!$B$42)/100)</f>
        <v>77</v>
      </c>
    </row>
    <row r="78" spans="1:12" ht="27" customHeight="1" x14ac:dyDescent="0.85">
      <c r="A78" s="16">
        <v>8</v>
      </c>
      <c r="B78" s="16">
        <v>1.2</v>
      </c>
      <c r="C78" s="16">
        <v>10</v>
      </c>
      <c r="D78" s="19" t="s">
        <v>512</v>
      </c>
      <c r="E78" s="83">
        <v>192.5</v>
      </c>
      <c r="F78" s="83">
        <f>E78*((100-Discounts!$B$42)/100)</f>
        <v>77</v>
      </c>
    </row>
    <row r="79" spans="1:12" ht="27" customHeight="1" x14ac:dyDescent="0.85">
      <c r="A79" s="18">
        <v>10</v>
      </c>
      <c r="B79" s="18">
        <v>1.2</v>
      </c>
      <c r="C79" s="18">
        <v>5</v>
      </c>
      <c r="D79" s="20" t="s">
        <v>513</v>
      </c>
      <c r="E79" s="84">
        <v>240.75</v>
      </c>
      <c r="F79" s="84">
        <f>E79*((100-Discounts!$B$42)/100)</f>
        <v>96.300000000000011</v>
      </c>
    </row>
    <row r="80" spans="1:12" ht="27" customHeight="1" x14ac:dyDescent="0.85">
      <c r="A80" s="16">
        <v>10</v>
      </c>
      <c r="B80" s="16">
        <v>1.2</v>
      </c>
      <c r="C80" s="16">
        <v>10</v>
      </c>
      <c r="D80" s="19" t="s">
        <v>513</v>
      </c>
      <c r="E80" s="83">
        <v>240.75</v>
      </c>
      <c r="F80" s="83">
        <f>E80*((100-Discounts!$B$42)/100)</f>
        <v>96.300000000000011</v>
      </c>
    </row>
    <row r="81" spans="1:12" ht="27" customHeight="1" thickBot="1" x14ac:dyDescent="0.9">
      <c r="A81" s="18">
        <v>12</v>
      </c>
      <c r="B81" s="18">
        <v>1.2</v>
      </c>
      <c r="C81" s="18">
        <v>5</v>
      </c>
      <c r="D81" s="20" t="s">
        <v>514</v>
      </c>
      <c r="E81" s="84">
        <v>288.75</v>
      </c>
      <c r="F81" s="84">
        <f>E81*((100-Discounts!$B$42)/100)</f>
        <v>115.5</v>
      </c>
    </row>
    <row r="82" spans="1:12" s="11" customFormat="1" ht="40.5" customHeight="1" thickTop="1" thickBot="1" x14ac:dyDescent="0.9">
      <c r="A82" s="41" t="s">
        <v>236</v>
      </c>
      <c r="B82" s="42"/>
      <c r="C82" s="42"/>
      <c r="D82" s="152"/>
      <c r="E82" s="132"/>
      <c r="F82" s="133" t="s">
        <v>323</v>
      </c>
      <c r="H82" s="13"/>
      <c r="L82" s="12"/>
    </row>
    <row r="83" spans="1:12" s="24" customFormat="1" ht="54" customHeight="1" thickTop="1" thickBot="1" x14ac:dyDescent="0.9">
      <c r="A83" s="43" t="s">
        <v>320</v>
      </c>
      <c r="B83" s="44" t="s">
        <v>321</v>
      </c>
      <c r="C83" s="44" t="s">
        <v>311</v>
      </c>
      <c r="D83" s="153" t="s">
        <v>322</v>
      </c>
      <c r="E83" s="134" t="s">
        <v>179</v>
      </c>
      <c r="F83" s="134" t="s">
        <v>199</v>
      </c>
    </row>
    <row r="84" spans="1:12" ht="27" customHeight="1" thickTop="1" x14ac:dyDescent="0.85">
      <c r="A84" s="16">
        <v>2</v>
      </c>
      <c r="B84" s="16">
        <v>1.2</v>
      </c>
      <c r="C84" s="16">
        <v>10</v>
      </c>
      <c r="D84" s="19" t="s">
        <v>517</v>
      </c>
      <c r="E84" s="83">
        <v>50</v>
      </c>
      <c r="F84" s="83">
        <f>E84*((100-Discounts!$B$43)/100)</f>
        <v>20</v>
      </c>
    </row>
    <row r="85" spans="1:12" ht="27" customHeight="1" x14ac:dyDescent="0.85">
      <c r="A85" s="18">
        <v>3</v>
      </c>
      <c r="B85" s="18">
        <v>1.2</v>
      </c>
      <c r="C85" s="18">
        <v>10</v>
      </c>
      <c r="D85" s="20" t="s">
        <v>518</v>
      </c>
      <c r="E85" s="84">
        <v>72.25</v>
      </c>
      <c r="F85" s="84">
        <f>E85*((100-Discounts!$B$43)/100)</f>
        <v>28.900000000000002</v>
      </c>
    </row>
    <row r="86" spans="1:12" ht="27" customHeight="1" x14ac:dyDescent="0.85">
      <c r="A86" s="16">
        <v>5</v>
      </c>
      <c r="B86" s="16">
        <v>1.2</v>
      </c>
      <c r="C86" s="16">
        <v>10</v>
      </c>
      <c r="D86" s="19" t="s">
        <v>519</v>
      </c>
      <c r="E86" s="83">
        <v>120.5</v>
      </c>
      <c r="F86" s="83">
        <f>E86*((100-Discounts!$B$43)/100)</f>
        <v>48.2</v>
      </c>
    </row>
    <row r="87" spans="1:12" ht="27" customHeight="1" thickBot="1" x14ac:dyDescent="0.9">
      <c r="A87" s="18">
        <v>10</v>
      </c>
      <c r="B87" s="18">
        <v>1.2</v>
      </c>
      <c r="C87" s="18">
        <v>5</v>
      </c>
      <c r="D87" s="20" t="s">
        <v>520</v>
      </c>
      <c r="E87" s="84">
        <v>240.75</v>
      </c>
      <c r="F87" s="84">
        <f>E87*((100-Discounts!$B$43)/100)</f>
        <v>96.300000000000011</v>
      </c>
    </row>
    <row r="88" spans="1:12" s="11" customFormat="1" ht="27" customHeight="1" thickTop="1" thickBot="1" x14ac:dyDescent="0.9">
      <c r="A88" s="41" t="s">
        <v>237</v>
      </c>
      <c r="B88" s="42"/>
      <c r="C88" s="42"/>
      <c r="D88" s="152"/>
      <c r="E88" s="132"/>
      <c r="F88" s="133" t="s">
        <v>323</v>
      </c>
      <c r="H88" s="13"/>
      <c r="L88" s="12"/>
    </row>
    <row r="89" spans="1:12" s="24" customFormat="1" ht="54" customHeight="1" thickTop="1" thickBot="1" x14ac:dyDescent="0.9">
      <c r="A89" s="43" t="s">
        <v>320</v>
      </c>
      <c r="B89" s="44" t="s">
        <v>321</v>
      </c>
      <c r="C89" s="44" t="s">
        <v>311</v>
      </c>
      <c r="D89" s="153" t="s">
        <v>322</v>
      </c>
      <c r="E89" s="134" t="s">
        <v>179</v>
      </c>
      <c r="F89" s="134" t="s">
        <v>199</v>
      </c>
    </row>
    <row r="90" spans="1:12" ht="27" customHeight="1" thickTop="1" x14ac:dyDescent="0.85">
      <c r="A90" s="16">
        <v>1</v>
      </c>
      <c r="B90" s="16">
        <v>1.2</v>
      </c>
      <c r="C90" s="16">
        <v>10</v>
      </c>
      <c r="D90" s="19" t="s">
        <v>521</v>
      </c>
      <c r="E90" s="83">
        <v>26.5</v>
      </c>
      <c r="F90" s="83">
        <f>E90*((100-Discounts!$B$44)/100)</f>
        <v>10.600000000000001</v>
      </c>
    </row>
    <row r="91" spans="1:12" ht="27" customHeight="1" x14ac:dyDescent="0.85">
      <c r="A91" s="18">
        <v>1.5</v>
      </c>
      <c r="B91" s="18">
        <v>1.2</v>
      </c>
      <c r="C91" s="18">
        <v>10</v>
      </c>
      <c r="D91" s="20" t="s">
        <v>522</v>
      </c>
      <c r="E91" s="84">
        <v>38.5</v>
      </c>
      <c r="F91" s="84">
        <f>E91*((100-Discounts!$B$44)/100)</f>
        <v>15.4</v>
      </c>
    </row>
    <row r="92" spans="1:12" ht="27" customHeight="1" x14ac:dyDescent="0.85">
      <c r="A92" s="16">
        <v>2</v>
      </c>
      <c r="B92" s="16">
        <v>1.2</v>
      </c>
      <c r="C92" s="16">
        <v>10</v>
      </c>
      <c r="D92" s="19" t="s">
        <v>523</v>
      </c>
      <c r="E92" s="83">
        <v>50</v>
      </c>
      <c r="F92" s="83">
        <f>E92*((100-Discounts!$B$44)/100)</f>
        <v>20</v>
      </c>
    </row>
    <row r="93" spans="1:12" ht="27" customHeight="1" x14ac:dyDescent="0.85">
      <c r="A93" s="18">
        <v>3</v>
      </c>
      <c r="B93" s="18">
        <v>1.2</v>
      </c>
      <c r="C93" s="18">
        <v>10</v>
      </c>
      <c r="D93" s="20" t="s">
        <v>524</v>
      </c>
      <c r="E93" s="84">
        <v>72.25</v>
      </c>
      <c r="F93" s="84">
        <f>E93*((100-Discounts!$B$44)/100)</f>
        <v>28.900000000000002</v>
      </c>
    </row>
    <row r="94" spans="1:12" ht="27" customHeight="1" x14ac:dyDescent="0.85">
      <c r="A94" s="16">
        <v>4</v>
      </c>
      <c r="B94" s="16">
        <v>1.2</v>
      </c>
      <c r="C94" s="16">
        <v>10</v>
      </c>
      <c r="D94" s="19" t="s">
        <v>525</v>
      </c>
      <c r="E94" s="83">
        <v>96.25</v>
      </c>
      <c r="F94" s="83">
        <f>E94*((100-Discounts!$B$44)/100)</f>
        <v>38.5</v>
      </c>
    </row>
    <row r="95" spans="1:12" ht="27" customHeight="1" x14ac:dyDescent="0.85">
      <c r="A95" s="18">
        <v>5</v>
      </c>
      <c r="B95" s="18">
        <v>1.2</v>
      </c>
      <c r="C95" s="18">
        <v>10</v>
      </c>
      <c r="D95" s="20" t="s">
        <v>526</v>
      </c>
      <c r="E95" s="84">
        <v>120.5</v>
      </c>
      <c r="F95" s="84">
        <f>E95*((100-Discounts!$B$44)/100)</f>
        <v>48.2</v>
      </c>
    </row>
    <row r="96" spans="1:12" ht="27" customHeight="1" x14ac:dyDescent="0.85">
      <c r="A96" s="16">
        <v>6</v>
      </c>
      <c r="B96" s="16">
        <v>1.2</v>
      </c>
      <c r="C96" s="16">
        <v>10</v>
      </c>
      <c r="D96" s="19" t="s">
        <v>527</v>
      </c>
      <c r="E96" s="83">
        <v>144.5</v>
      </c>
      <c r="F96" s="83">
        <f>E96*((100-Discounts!$B$44)/100)</f>
        <v>57.800000000000004</v>
      </c>
    </row>
    <row r="97" spans="1:6" ht="27" customHeight="1" x14ac:dyDescent="0.85">
      <c r="A97" s="18">
        <v>8</v>
      </c>
      <c r="B97" s="18">
        <v>1.2</v>
      </c>
      <c r="C97" s="18">
        <v>10</v>
      </c>
      <c r="D97" s="20" t="s">
        <v>528</v>
      </c>
      <c r="E97" s="84">
        <v>192.5</v>
      </c>
      <c r="F97" s="84">
        <f>E97*((100-Discounts!$B$44)/100)</f>
        <v>77</v>
      </c>
    </row>
    <row r="98" spans="1:6" ht="27" customHeight="1" x14ac:dyDescent="0.85">
      <c r="A98" s="16">
        <v>10</v>
      </c>
      <c r="B98" s="16">
        <v>1.2</v>
      </c>
      <c r="C98" s="16">
        <v>10</v>
      </c>
      <c r="D98" s="19" t="s">
        <v>529</v>
      </c>
      <c r="E98" s="83">
        <v>240.75</v>
      </c>
      <c r="F98" s="83">
        <f>E98*((100-Discounts!$B$44)/100)</f>
        <v>96.300000000000011</v>
      </c>
    </row>
  </sheetData>
  <hyperlinks>
    <hyperlink ref="A1:B1" r:id="rId1" display="Food Grade &amp; VMQ Silicone" xr:uid="{AA4AB8FD-6588-4A80-9775-F8185C71DF77}"/>
    <hyperlink ref="F2" r:id="rId2" xr:uid="{3811F7F6-D2F3-4431-86D1-23D5F1FF6748}"/>
    <hyperlink ref="A2" r:id="rId3" xr:uid="{090BB28C-A301-431B-B545-C42CD2264F3D}"/>
    <hyperlink ref="F13" r:id="rId4" xr:uid="{C0892945-4212-430D-BBB2-5D458E01BFBD}"/>
    <hyperlink ref="A13" r:id="rId5" xr:uid="{83FBC3F2-E6EC-4894-B080-9234162363CA}"/>
    <hyperlink ref="F23" r:id="rId6" xr:uid="{DD954896-ADF8-4628-8891-C50F6F14C65C}"/>
    <hyperlink ref="A23" r:id="rId7" xr:uid="{5BAA3A9E-1FA6-4C77-A974-E020A7085E4D}"/>
    <hyperlink ref="F34" r:id="rId8" xr:uid="{0A45B1A2-A5F7-4557-9786-C40E612C6A91}"/>
    <hyperlink ref="A34" r:id="rId9" xr:uid="{CCB0618C-327C-43DC-A5C1-866A4BD160F2}"/>
    <hyperlink ref="F41" r:id="rId10" xr:uid="{5531B939-4384-432F-A77A-B0D72FB713D0}"/>
    <hyperlink ref="A41" r:id="rId11" xr:uid="{B745DCAE-FD99-4979-9FFC-3B7C68A599A4}"/>
    <hyperlink ref="F55" r:id="rId12" xr:uid="{DE3BA33F-F12C-4CCB-93AF-8DFB917B5E3B}"/>
    <hyperlink ref="A55" r:id="rId13" xr:uid="{47967B74-5EE6-448A-9E1B-BA4740294042}"/>
    <hyperlink ref="F68" r:id="rId14" xr:uid="{BFB9A758-3E37-44EC-A0A2-741CB75BB76C}"/>
    <hyperlink ref="A68" r:id="rId15" xr:uid="{8F821500-4D06-4AB0-B133-8477B9EE82DF}"/>
    <hyperlink ref="F82" r:id="rId16" xr:uid="{1A405012-28D5-4B5E-957C-0D20C62E06A0}"/>
    <hyperlink ref="A82" r:id="rId17" xr:uid="{4EF95539-E61D-448F-8246-A4AF9E473942}"/>
    <hyperlink ref="F88" r:id="rId18" xr:uid="{3C6AD75E-2D67-4A62-9A7F-0471CF882A0E}"/>
    <hyperlink ref="A88" r:id="rId19" xr:uid="{54DA15A6-1E6B-4AE9-BF2A-60C912065B36}"/>
  </hyperlinks>
  <pageMargins left="0.51181102362204722" right="0.51181102362204722" top="0.35433070866141736" bottom="0.35433070866141736" header="0.11811023622047245" footer="0.11811023622047245"/>
  <pageSetup paperSize="9" scale="75" fitToHeight="0" orientation="landscape" r:id="rId20"/>
  <headerFooter>
    <oddFooter>&amp;R&amp;P van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B577-5B32-43A6-810F-BBDD0175BF36}">
  <sheetPr>
    <tabColor rgb="FF8A4091"/>
  </sheetPr>
  <dimension ref="A1:L14"/>
  <sheetViews>
    <sheetView zoomScale="90" zoomScaleNormal="90" workbookViewId="0">
      <selection sqref="A1:F14"/>
    </sheetView>
  </sheetViews>
  <sheetFormatPr defaultColWidth="8.6640625" defaultRowHeight="27" customHeight="1" x14ac:dyDescent="0.85"/>
  <cols>
    <col min="1" max="3" width="16.5546875" style="3" customWidth="1"/>
    <col min="4" max="4" width="20.5546875" style="122" customWidth="1"/>
    <col min="5" max="5" width="20.5546875" style="116" customWidth="1"/>
    <col min="6" max="6" width="20.5546875" style="130" customWidth="1"/>
    <col min="7" max="16384" width="8.6640625" style="3"/>
  </cols>
  <sheetData>
    <row r="1" spans="1:12" s="11" customFormat="1" ht="40.5" customHeight="1" thickBot="1" x14ac:dyDescent="0.9">
      <c r="A1" s="216" t="s">
        <v>530</v>
      </c>
      <c r="B1" s="216"/>
      <c r="C1" s="216"/>
      <c r="D1" s="148"/>
      <c r="E1" s="135"/>
      <c r="F1" s="136"/>
      <c r="J1" s="12"/>
    </row>
    <row r="2" spans="1:12" s="11" customFormat="1" ht="40.5" customHeight="1" thickTop="1" thickBot="1" x14ac:dyDescent="0.9">
      <c r="A2" s="51" t="s">
        <v>531</v>
      </c>
      <c r="B2" s="52"/>
      <c r="C2" s="52"/>
      <c r="D2" s="149"/>
      <c r="E2" s="137"/>
      <c r="F2" s="138" t="s">
        <v>323</v>
      </c>
      <c r="H2" s="13"/>
      <c r="L2" s="12"/>
    </row>
    <row r="3" spans="1:12" s="24" customFormat="1" ht="54" customHeight="1" thickTop="1" thickBot="1" x14ac:dyDescent="0.9">
      <c r="A3" s="53" t="s">
        <v>320</v>
      </c>
      <c r="B3" s="54" t="s">
        <v>321</v>
      </c>
      <c r="C3" s="54" t="s">
        <v>311</v>
      </c>
      <c r="D3" s="150" t="s">
        <v>322</v>
      </c>
      <c r="E3" s="139" t="s">
        <v>179</v>
      </c>
      <c r="F3" s="140" t="s">
        <v>199</v>
      </c>
    </row>
    <row r="4" spans="1:12" ht="27" customHeight="1" thickTop="1" x14ac:dyDescent="0.85">
      <c r="A4" s="16">
        <v>0.5</v>
      </c>
      <c r="B4" s="16">
        <v>1.2</v>
      </c>
      <c r="C4" s="16">
        <v>10</v>
      </c>
      <c r="D4" s="19" t="s">
        <v>532</v>
      </c>
      <c r="E4" s="83">
        <v>80</v>
      </c>
      <c r="F4" s="83">
        <f>E4*((100-Discounts!$B$46)/100)</f>
        <v>30.4</v>
      </c>
    </row>
    <row r="5" spans="1:12" ht="27" customHeight="1" x14ac:dyDescent="0.85">
      <c r="A5" s="18">
        <v>1</v>
      </c>
      <c r="B5" s="18">
        <v>1.2</v>
      </c>
      <c r="C5" s="18">
        <v>10</v>
      </c>
      <c r="D5" s="20" t="s">
        <v>533</v>
      </c>
      <c r="E5" s="84">
        <v>115</v>
      </c>
      <c r="F5" s="84">
        <f>E5*((100-Discounts!$B$46)/100)</f>
        <v>43.7</v>
      </c>
    </row>
    <row r="6" spans="1:12" ht="27" customHeight="1" x14ac:dyDescent="0.85">
      <c r="A6" s="16">
        <v>1.5</v>
      </c>
      <c r="B6" s="16">
        <v>1.2</v>
      </c>
      <c r="C6" s="16">
        <v>10</v>
      </c>
      <c r="D6" s="19" t="s">
        <v>534</v>
      </c>
      <c r="E6" s="83">
        <v>170</v>
      </c>
      <c r="F6" s="83">
        <f>E6*((100-Discounts!$B$46)/100)</f>
        <v>64.599999999999994</v>
      </c>
    </row>
    <row r="7" spans="1:12" ht="27" customHeight="1" x14ac:dyDescent="0.85">
      <c r="A7" s="18">
        <v>2</v>
      </c>
      <c r="B7" s="18">
        <v>1.2</v>
      </c>
      <c r="C7" s="18">
        <v>10</v>
      </c>
      <c r="D7" s="20" t="s">
        <v>535</v>
      </c>
      <c r="E7" s="84">
        <v>220</v>
      </c>
      <c r="F7" s="84">
        <f>E7*((100-Discounts!$B$46)/100)</f>
        <v>83.6</v>
      </c>
    </row>
    <row r="8" spans="1:12" ht="27" customHeight="1" x14ac:dyDescent="0.85">
      <c r="A8" s="16">
        <v>3</v>
      </c>
      <c r="B8" s="16">
        <v>1.2</v>
      </c>
      <c r="C8" s="16">
        <v>10</v>
      </c>
      <c r="D8" s="19" t="s">
        <v>536</v>
      </c>
      <c r="E8" s="83">
        <v>330</v>
      </c>
      <c r="F8" s="83">
        <f>E8*((100-Discounts!$B$46)/100)</f>
        <v>125.4</v>
      </c>
    </row>
    <row r="9" spans="1:12" ht="27" customHeight="1" x14ac:dyDescent="0.85">
      <c r="A9" s="18">
        <v>4</v>
      </c>
      <c r="B9" s="18">
        <v>1.2</v>
      </c>
      <c r="C9" s="18">
        <v>10</v>
      </c>
      <c r="D9" s="20" t="s">
        <v>537</v>
      </c>
      <c r="E9" s="84">
        <v>440</v>
      </c>
      <c r="F9" s="84">
        <f>E9*((100-Discounts!$B$46)/100)</f>
        <v>167.2</v>
      </c>
    </row>
    <row r="10" spans="1:12" ht="27" customHeight="1" x14ac:dyDescent="0.85">
      <c r="A10" s="16">
        <v>5</v>
      </c>
      <c r="B10" s="16">
        <v>1.2</v>
      </c>
      <c r="C10" s="16">
        <v>10</v>
      </c>
      <c r="D10" s="19" t="s">
        <v>538</v>
      </c>
      <c r="E10" s="83">
        <v>550</v>
      </c>
      <c r="F10" s="83">
        <f>E10*((100-Discounts!$B$46)/100)</f>
        <v>209</v>
      </c>
    </row>
    <row r="11" spans="1:12" ht="27" customHeight="1" x14ac:dyDescent="0.85">
      <c r="A11" s="18">
        <v>6</v>
      </c>
      <c r="B11" s="18">
        <v>1.2</v>
      </c>
      <c r="C11" s="18">
        <v>10</v>
      </c>
      <c r="D11" s="20" t="s">
        <v>539</v>
      </c>
      <c r="E11" s="84">
        <v>660</v>
      </c>
      <c r="F11" s="84">
        <f>E11*((100-Discounts!$B$46)/100)</f>
        <v>250.8</v>
      </c>
    </row>
    <row r="12" spans="1:12" ht="27" customHeight="1" x14ac:dyDescent="0.85">
      <c r="A12" s="16">
        <v>8</v>
      </c>
      <c r="B12" s="16">
        <v>1.2</v>
      </c>
      <c r="C12" s="16">
        <v>5</v>
      </c>
      <c r="D12" s="19" t="s">
        <v>540</v>
      </c>
      <c r="E12" s="83">
        <v>880</v>
      </c>
      <c r="F12" s="83">
        <f>E12*((100-Discounts!$B$46)/100)</f>
        <v>334.4</v>
      </c>
    </row>
    <row r="13" spans="1:12" ht="27" customHeight="1" x14ac:dyDescent="0.85">
      <c r="A13" s="18">
        <v>10</v>
      </c>
      <c r="B13" s="18">
        <v>1.2</v>
      </c>
      <c r="C13" s="18">
        <v>5</v>
      </c>
      <c r="D13" s="20" t="s">
        <v>541</v>
      </c>
      <c r="E13" s="84">
        <v>1100</v>
      </c>
      <c r="F13" s="84">
        <f>E13*((100-Discounts!$B$46)/100)</f>
        <v>418</v>
      </c>
    </row>
    <row r="14" spans="1:12" ht="27" customHeight="1" x14ac:dyDescent="0.85">
      <c r="A14" s="16">
        <v>12</v>
      </c>
      <c r="B14" s="16">
        <v>1.2</v>
      </c>
      <c r="C14" s="16">
        <v>5</v>
      </c>
      <c r="D14" s="19" t="s">
        <v>542</v>
      </c>
      <c r="E14" s="83">
        <v>1320</v>
      </c>
      <c r="F14" s="83">
        <f>E14*((100-Discounts!$B$46)/100)</f>
        <v>501.6</v>
      </c>
    </row>
  </sheetData>
  <hyperlinks>
    <hyperlink ref="A1:B1" r:id="rId1" display="Food Grade &amp; VMQ Silicone" xr:uid="{DD49BC29-ACC0-4525-9FF8-87C34407F396}"/>
    <hyperlink ref="F2" r:id="rId2" xr:uid="{030CC68E-196A-43FD-BBD9-32032D6E5267}"/>
    <hyperlink ref="A2" r:id="rId3" xr:uid="{05741BD8-3DBC-440E-BAB5-CD74F49A9449}"/>
    <hyperlink ref="A1:C1" r:id="rId4" display="Fluoro elastomer rubber sheets" xr:uid="{A055DEF5-CA3E-4910-9772-27BDC734908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A959C"/>
    <pageSetUpPr fitToPage="1"/>
  </sheetPr>
  <dimension ref="A1:L22"/>
  <sheetViews>
    <sheetView topLeftCell="A5" zoomScale="90" zoomScaleNormal="90" workbookViewId="0">
      <selection activeCell="A17" sqref="A17"/>
    </sheetView>
  </sheetViews>
  <sheetFormatPr defaultColWidth="8.6640625" defaultRowHeight="26.5" x14ac:dyDescent="0.85"/>
  <cols>
    <col min="1" max="3" width="16.5546875" style="3" customWidth="1"/>
    <col min="4" max="4" width="20.5546875" style="122" customWidth="1"/>
    <col min="5" max="6" width="20.5546875" style="116" customWidth="1"/>
    <col min="7" max="16384" width="8.6640625" style="3"/>
  </cols>
  <sheetData>
    <row r="1" spans="1:12" s="11" customFormat="1" ht="40.5" customHeight="1" thickBot="1" x14ac:dyDescent="0.9">
      <c r="A1" s="219" t="s">
        <v>543</v>
      </c>
      <c r="B1" s="219"/>
      <c r="C1" s="219"/>
      <c r="D1" s="145"/>
      <c r="E1" s="141"/>
      <c r="F1" s="141"/>
      <c r="J1" s="12"/>
    </row>
    <row r="2" spans="1:12" s="11" customFormat="1" ht="40.5" customHeight="1" thickTop="1" thickBot="1" x14ac:dyDescent="0.9">
      <c r="A2" s="55" t="s">
        <v>230</v>
      </c>
      <c r="B2" s="56"/>
      <c r="C2" s="56"/>
      <c r="D2" s="146"/>
      <c r="E2" s="142"/>
      <c r="F2" s="143" t="s">
        <v>323</v>
      </c>
      <c r="H2" s="13"/>
      <c r="L2" s="12"/>
    </row>
    <row r="3" spans="1:12" s="24" customFormat="1" ht="54" customHeight="1" thickTop="1" thickBot="1" x14ac:dyDescent="0.9">
      <c r="A3" s="57" t="s">
        <v>320</v>
      </c>
      <c r="B3" s="58" t="s">
        <v>321</v>
      </c>
      <c r="C3" s="58" t="s">
        <v>311</v>
      </c>
      <c r="D3" s="147" t="s">
        <v>322</v>
      </c>
      <c r="E3" s="144" t="s">
        <v>179</v>
      </c>
      <c r="F3" s="144" t="s">
        <v>199</v>
      </c>
    </row>
    <row r="4" spans="1:12" ht="27" thickTop="1" x14ac:dyDescent="0.85">
      <c r="A4" s="16">
        <v>2</v>
      </c>
      <c r="B4" s="16">
        <v>1.4</v>
      </c>
      <c r="C4" s="16">
        <v>10</v>
      </c>
      <c r="D4" s="19" t="s">
        <v>544</v>
      </c>
      <c r="E4" s="83">
        <v>40</v>
      </c>
      <c r="F4" s="83">
        <f>E4*((100-Discounts!$B$48)/100)</f>
        <v>18</v>
      </c>
    </row>
    <row r="5" spans="1:12" x14ac:dyDescent="0.85">
      <c r="A5" s="18">
        <v>3</v>
      </c>
      <c r="B5" s="18">
        <v>1.4</v>
      </c>
      <c r="C5" s="18">
        <v>10</v>
      </c>
      <c r="D5" s="20" t="s">
        <v>545</v>
      </c>
      <c r="E5" s="84">
        <v>59.25</v>
      </c>
      <c r="F5" s="84">
        <f>E5*((100-Discounts!$B$48)/100)</f>
        <v>26.662500000000001</v>
      </c>
    </row>
    <row r="6" spans="1:12" x14ac:dyDescent="0.85">
      <c r="A6" s="16">
        <v>4</v>
      </c>
      <c r="B6" s="16">
        <v>1.4</v>
      </c>
      <c r="C6" s="16">
        <v>10</v>
      </c>
      <c r="D6" s="19" t="s">
        <v>546</v>
      </c>
      <c r="E6" s="83">
        <v>79</v>
      </c>
      <c r="F6" s="83">
        <f>E6*((100-Discounts!$B$48)/100)</f>
        <v>35.550000000000004</v>
      </c>
    </row>
    <row r="7" spans="1:12" x14ac:dyDescent="0.85">
      <c r="A7" s="18">
        <v>5</v>
      </c>
      <c r="B7" s="18">
        <v>1.4</v>
      </c>
      <c r="C7" s="18">
        <v>10</v>
      </c>
      <c r="D7" s="20" t="s">
        <v>547</v>
      </c>
      <c r="E7" s="84">
        <v>98</v>
      </c>
      <c r="F7" s="84">
        <f>E7*((100-Discounts!$B$48)/100)</f>
        <v>44.1</v>
      </c>
    </row>
    <row r="8" spans="1:12" x14ac:dyDescent="0.85">
      <c r="A8" s="16">
        <v>6</v>
      </c>
      <c r="B8" s="16">
        <v>1.4</v>
      </c>
      <c r="C8" s="16">
        <v>10</v>
      </c>
      <c r="D8" s="19" t="s">
        <v>548</v>
      </c>
      <c r="E8" s="83">
        <v>117.5</v>
      </c>
      <c r="F8" s="83">
        <f>E8*((100-Discounts!$B$48)/100)</f>
        <v>52.875</v>
      </c>
    </row>
    <row r="9" spans="1:12" ht="27" thickBot="1" x14ac:dyDescent="0.9">
      <c r="A9" s="18">
        <v>10</v>
      </c>
      <c r="B9" s="18">
        <v>1.4</v>
      </c>
      <c r="C9" s="18">
        <v>5</v>
      </c>
      <c r="D9" s="20" t="s">
        <v>549</v>
      </c>
      <c r="E9" s="84">
        <v>194.25</v>
      </c>
      <c r="F9" s="84">
        <f>E9*((100-Discounts!$B$48)/100)</f>
        <v>87.412500000000009</v>
      </c>
    </row>
    <row r="10" spans="1:12" s="11" customFormat="1" ht="40.5" customHeight="1" thickTop="1" thickBot="1" x14ac:dyDescent="0.9">
      <c r="A10" s="55" t="s">
        <v>550</v>
      </c>
      <c r="B10" s="56"/>
      <c r="C10" s="56"/>
      <c r="D10" s="146"/>
      <c r="E10" s="142"/>
      <c r="F10" s="143" t="s">
        <v>323</v>
      </c>
      <c r="H10" s="13"/>
      <c r="L10" s="12"/>
    </row>
    <row r="11" spans="1:12" s="24" customFormat="1" ht="54" customHeight="1" thickTop="1" thickBot="1" x14ac:dyDescent="0.9">
      <c r="A11" s="57" t="s">
        <v>320</v>
      </c>
      <c r="B11" s="58" t="s">
        <v>321</v>
      </c>
      <c r="C11" s="58" t="s">
        <v>311</v>
      </c>
      <c r="D11" s="147" t="s">
        <v>322</v>
      </c>
      <c r="E11" s="144" t="s">
        <v>179</v>
      </c>
      <c r="F11" s="144" t="s">
        <v>199</v>
      </c>
    </row>
    <row r="12" spans="1:12" ht="27" thickTop="1" x14ac:dyDescent="0.85">
      <c r="A12" s="16">
        <v>2</v>
      </c>
      <c r="B12" s="16">
        <v>1.4</v>
      </c>
      <c r="C12" s="16">
        <v>10</v>
      </c>
      <c r="D12" s="19" t="s">
        <v>551</v>
      </c>
      <c r="E12" s="83">
        <v>65.5</v>
      </c>
      <c r="F12" s="83">
        <f>E12*((100-Discounts!$B$49)/100)</f>
        <v>29.475000000000001</v>
      </c>
    </row>
    <row r="13" spans="1:12" x14ac:dyDescent="0.85">
      <c r="A13" s="18">
        <v>3</v>
      </c>
      <c r="B13" s="18">
        <v>1.4</v>
      </c>
      <c r="C13" s="18">
        <v>10</v>
      </c>
      <c r="D13" s="20" t="s">
        <v>552</v>
      </c>
      <c r="E13" s="84">
        <v>94</v>
      </c>
      <c r="F13" s="84">
        <f>E13*((100-Discounts!$B$49)/100)</f>
        <v>42.300000000000004</v>
      </c>
    </row>
    <row r="14" spans="1:12" x14ac:dyDescent="0.85">
      <c r="A14" s="16">
        <v>4</v>
      </c>
      <c r="B14" s="16">
        <v>1.4</v>
      </c>
      <c r="C14" s="16">
        <v>10</v>
      </c>
      <c r="D14" s="19" t="s">
        <v>553</v>
      </c>
      <c r="E14" s="83">
        <v>125.25</v>
      </c>
      <c r="F14" s="83">
        <f>E14*((100-Discounts!$B$49)/100)</f>
        <v>56.362500000000004</v>
      </c>
    </row>
    <row r="15" spans="1:12" x14ac:dyDescent="0.85">
      <c r="A15" s="18">
        <v>5</v>
      </c>
      <c r="B15" s="18">
        <v>1.4</v>
      </c>
      <c r="C15" s="18">
        <v>10</v>
      </c>
      <c r="D15" s="20" t="s">
        <v>554</v>
      </c>
      <c r="E15" s="84">
        <v>155</v>
      </c>
      <c r="F15" s="84">
        <f>E15*((100-Discounts!$B$49)/100)</f>
        <v>69.75</v>
      </c>
    </row>
    <row r="16" spans="1:12" ht="27" thickBot="1" x14ac:dyDescent="0.9">
      <c r="A16" s="16">
        <v>6</v>
      </c>
      <c r="B16" s="16">
        <v>1.4</v>
      </c>
      <c r="C16" s="16">
        <v>10</v>
      </c>
      <c r="D16" s="19" t="s">
        <v>555</v>
      </c>
      <c r="E16" s="83">
        <v>183.75</v>
      </c>
      <c r="F16" s="83">
        <f>E16*((100-Discounts!$B$49)/100)</f>
        <v>82.6875</v>
      </c>
    </row>
    <row r="17" spans="1:12" s="11" customFormat="1" ht="40.5" customHeight="1" thickTop="1" thickBot="1" x14ac:dyDescent="0.9">
      <c r="A17" s="55" t="s">
        <v>556</v>
      </c>
      <c r="B17" s="56"/>
      <c r="C17" s="56"/>
      <c r="D17" s="146"/>
      <c r="E17" s="142"/>
      <c r="F17" s="143" t="s">
        <v>323</v>
      </c>
      <c r="H17" s="13"/>
      <c r="L17" s="12"/>
    </row>
    <row r="18" spans="1:12" s="24" customFormat="1" ht="54" customHeight="1" thickTop="1" thickBot="1" x14ac:dyDescent="0.9">
      <c r="A18" s="57" t="s">
        <v>320</v>
      </c>
      <c r="B18" s="58" t="s">
        <v>321</v>
      </c>
      <c r="C18" s="58" t="s">
        <v>311</v>
      </c>
      <c r="D18" s="147" t="s">
        <v>322</v>
      </c>
      <c r="E18" s="144" t="s">
        <v>179</v>
      </c>
      <c r="F18" s="144" t="s">
        <v>199</v>
      </c>
    </row>
    <row r="19" spans="1:12" ht="27" thickTop="1" x14ac:dyDescent="0.85">
      <c r="A19" s="16">
        <v>2</v>
      </c>
      <c r="B19" s="16">
        <v>1.4</v>
      </c>
      <c r="C19" s="16">
        <v>10</v>
      </c>
      <c r="D19" s="19" t="s">
        <v>557</v>
      </c>
      <c r="E19" s="83">
        <v>47.75</v>
      </c>
      <c r="F19" s="83">
        <f>E19*((100-Discounts!$B$50)/100)</f>
        <v>21.487500000000001</v>
      </c>
    </row>
    <row r="20" spans="1:12" x14ac:dyDescent="0.85">
      <c r="A20" s="18">
        <v>3</v>
      </c>
      <c r="B20" s="18">
        <v>1.4</v>
      </c>
      <c r="C20" s="18">
        <v>10</v>
      </c>
      <c r="D20" s="20" t="s">
        <v>558</v>
      </c>
      <c r="E20" s="84">
        <v>70.5</v>
      </c>
      <c r="F20" s="84">
        <f>E20*((100-Discounts!$B$50)/100)</f>
        <v>31.725000000000001</v>
      </c>
    </row>
    <row r="21" spans="1:12" x14ac:dyDescent="0.85">
      <c r="A21" s="16">
        <v>4</v>
      </c>
      <c r="B21" s="16">
        <v>1.4</v>
      </c>
      <c r="C21" s="16">
        <v>10</v>
      </c>
      <c r="D21" s="19" t="s">
        <v>559</v>
      </c>
      <c r="E21" s="83">
        <v>94</v>
      </c>
      <c r="F21" s="83">
        <f>E21*((100-Discounts!$B$50)/100)</f>
        <v>42.300000000000004</v>
      </c>
    </row>
    <row r="22" spans="1:12" x14ac:dyDescent="0.85">
      <c r="A22" s="18">
        <v>5</v>
      </c>
      <c r="B22" s="18">
        <v>1.4</v>
      </c>
      <c r="C22" s="18">
        <v>10</v>
      </c>
      <c r="D22" s="20" t="s">
        <v>560</v>
      </c>
      <c r="E22" s="84">
        <v>116.75</v>
      </c>
      <c r="F22" s="84">
        <f>E22*((100-Discounts!$B$50)/100)</f>
        <v>52.537500000000001</v>
      </c>
    </row>
  </sheetData>
  <hyperlinks>
    <hyperlink ref="A1:B1" r:id="rId1" display="Food Grade &amp; VMQ Silicone" xr:uid="{4CD0B760-F9EC-4A62-BA2E-0DAA9E834F18}"/>
    <hyperlink ref="F2" r:id="rId2" xr:uid="{274823E6-6BF5-4029-AF62-4ACB700F8441}"/>
    <hyperlink ref="A2" r:id="rId3" xr:uid="{7D83BD81-AAC3-483E-808D-A9E21EA67A51}"/>
    <hyperlink ref="A1:C1" r:id="rId4" display="Various rubber sheets" xr:uid="{7B11D301-D6CF-460F-ACD1-488C0C6C0B2B}"/>
    <hyperlink ref="F10" r:id="rId5" xr:uid="{90FD2529-0E52-4F46-8F68-EE1FB56F4855}"/>
    <hyperlink ref="A10" r:id="rId6" xr:uid="{36F51C9F-0779-4E7B-AD15-4BBD6AF3DFF9}"/>
    <hyperlink ref="A17" r:id="rId7" xr:uid="{0B6D5BBF-CB7D-4775-80D3-2B9DA63F0D1F}"/>
    <hyperlink ref="F17" r:id="rId8" xr:uid="{3D78EA3D-9EB6-451A-BD90-CA6B8FF91087}"/>
  </hyperlinks>
  <pageMargins left="0.51181102362204722" right="0.51181102362204722" top="0.35433070866141736" bottom="0.35433070866141736" header="0.11811023622047245" footer="0.11811023622047245"/>
  <pageSetup paperSize="9" scale="80" fitToHeight="0" orientation="landscape" r:id="rId9"/>
  <headerFooter>
    <oddFooter>&amp;R&amp;P van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95AD"/>
    <pageSetUpPr fitToPage="1"/>
  </sheetPr>
  <dimension ref="A1:AI187"/>
  <sheetViews>
    <sheetView topLeftCell="A33" zoomScale="10" zoomScaleNormal="10" zoomScalePageLayoutView="130" workbookViewId="0">
      <selection sqref="A1:M187"/>
    </sheetView>
  </sheetViews>
  <sheetFormatPr defaultColWidth="8.6640625" defaultRowHeight="27" customHeight="1" x14ac:dyDescent="0.85"/>
  <cols>
    <col min="1" max="3" width="16.5546875" style="3" customWidth="1"/>
    <col min="4" max="4" width="16.5546875" style="38" customWidth="1"/>
    <col min="5" max="5" width="16.5546875" style="3" customWidth="1"/>
    <col min="6" max="6" width="20.5546875" style="122" customWidth="1"/>
    <col min="7" max="8" width="20.5546875" style="116" customWidth="1"/>
    <col min="9" max="13" width="20.5546875" style="3" customWidth="1"/>
    <col min="14" max="16384" width="8.6640625" style="3"/>
  </cols>
  <sheetData>
    <row r="1" spans="1:14" s="11" customFormat="1" ht="40.5" customHeight="1" thickTop="1" thickBot="1" x14ac:dyDescent="0.9">
      <c r="A1" s="220" t="s">
        <v>561</v>
      </c>
      <c r="B1" s="221"/>
      <c r="C1" s="221"/>
      <c r="D1" s="76"/>
      <c r="E1" s="72"/>
      <c r="F1" s="154"/>
      <c r="G1" s="169"/>
      <c r="H1" s="170"/>
      <c r="L1" s="12"/>
    </row>
    <row r="2" spans="1:14" s="11" customFormat="1" ht="40.5" customHeight="1" thickTop="1" thickBot="1" x14ac:dyDescent="0.9">
      <c r="A2" s="168" t="s">
        <v>2</v>
      </c>
      <c r="B2" s="68"/>
      <c r="C2" s="68"/>
      <c r="D2" s="69"/>
      <c r="E2" s="68"/>
      <c r="F2" s="155"/>
      <c r="G2" s="171" t="s">
        <v>597</v>
      </c>
      <c r="H2" s="171" t="s">
        <v>323</v>
      </c>
      <c r="J2" s="13"/>
      <c r="N2" s="12"/>
    </row>
    <row r="3" spans="1:14" s="25" customFormat="1" ht="54" customHeight="1" thickTop="1" thickBot="1" x14ac:dyDescent="0.9">
      <c r="A3" s="70" t="s">
        <v>320</v>
      </c>
      <c r="B3" s="70" t="s">
        <v>171</v>
      </c>
      <c r="C3" s="70" t="s">
        <v>325</v>
      </c>
      <c r="D3" s="70" t="s">
        <v>321</v>
      </c>
      <c r="E3" s="70" t="s">
        <v>311</v>
      </c>
      <c r="F3" s="156" t="s">
        <v>322</v>
      </c>
      <c r="G3" s="172" t="s">
        <v>179</v>
      </c>
      <c r="H3" s="173" t="s">
        <v>199</v>
      </c>
      <c r="J3" s="28"/>
      <c r="N3" s="26"/>
    </row>
    <row r="4" spans="1:14" ht="27" customHeight="1" thickTop="1" x14ac:dyDescent="0.85">
      <c r="A4" s="16">
        <v>3</v>
      </c>
      <c r="B4" s="16" t="s">
        <v>168</v>
      </c>
      <c r="C4" s="16" t="s">
        <v>168</v>
      </c>
      <c r="D4" s="16">
        <v>1.6</v>
      </c>
      <c r="E4" s="16">
        <v>10</v>
      </c>
      <c r="F4" s="19" t="s">
        <v>562</v>
      </c>
      <c r="G4" s="83">
        <v>18</v>
      </c>
      <c r="H4" s="83">
        <f>G4*((100-Discounts!$B$52)/100)</f>
        <v>8.1</v>
      </c>
    </row>
    <row r="5" spans="1:14" ht="27" customHeight="1" x14ac:dyDescent="0.85">
      <c r="A5" s="18">
        <v>3</v>
      </c>
      <c r="B5" s="18" t="s">
        <v>168</v>
      </c>
      <c r="C5" s="18" t="s">
        <v>168</v>
      </c>
      <c r="D5" s="18">
        <v>1.7</v>
      </c>
      <c r="E5" s="18">
        <v>10</v>
      </c>
      <c r="F5" s="20" t="s">
        <v>562</v>
      </c>
      <c r="G5" s="84">
        <v>18</v>
      </c>
      <c r="H5" s="84">
        <f>G5*((100-Discounts!$B$52)/100)</f>
        <v>8.1</v>
      </c>
    </row>
    <row r="6" spans="1:14" ht="27" customHeight="1" x14ac:dyDescent="0.85">
      <c r="A6" s="16">
        <v>3</v>
      </c>
      <c r="B6" s="16" t="s">
        <v>168</v>
      </c>
      <c r="C6" s="16" t="s">
        <v>168</v>
      </c>
      <c r="D6" s="16">
        <v>1.8</v>
      </c>
      <c r="E6" s="16">
        <v>10</v>
      </c>
      <c r="F6" s="19" t="s">
        <v>562</v>
      </c>
      <c r="G6" s="83">
        <v>18</v>
      </c>
      <c r="H6" s="83">
        <f>G6*((100-Discounts!$B$52)/100)</f>
        <v>8.1</v>
      </c>
    </row>
    <row r="7" spans="1:14" ht="27" customHeight="1" x14ac:dyDescent="0.85">
      <c r="A7" s="18">
        <v>3</v>
      </c>
      <c r="B7" s="18" t="s">
        <v>168</v>
      </c>
      <c r="C7" s="18" t="s">
        <v>168</v>
      </c>
      <c r="D7" s="18">
        <v>2</v>
      </c>
      <c r="E7" s="18">
        <v>10</v>
      </c>
      <c r="F7" s="20" t="s">
        <v>562</v>
      </c>
      <c r="G7" s="84">
        <v>18</v>
      </c>
      <c r="H7" s="84">
        <f>G7*((100-Discounts!$B$52)/100)</f>
        <v>8.1</v>
      </c>
    </row>
    <row r="8" spans="1:14" ht="27" customHeight="1" x14ac:dyDescent="0.85">
      <c r="A8" s="16">
        <v>4</v>
      </c>
      <c r="B8" s="16">
        <v>2</v>
      </c>
      <c r="C8" s="16" t="s">
        <v>178</v>
      </c>
      <c r="D8" s="16">
        <v>2</v>
      </c>
      <c r="E8" s="16">
        <v>10</v>
      </c>
      <c r="F8" s="19" t="s">
        <v>563</v>
      </c>
      <c r="G8" s="83">
        <v>34.5</v>
      </c>
      <c r="H8" s="83">
        <f>G8*((100-Discounts!$B$52)/100)</f>
        <v>15.525</v>
      </c>
    </row>
    <row r="9" spans="1:14" ht="27" customHeight="1" x14ac:dyDescent="0.85">
      <c r="A9" s="18">
        <v>5</v>
      </c>
      <c r="B9" s="18" t="s">
        <v>168</v>
      </c>
      <c r="C9" s="18" t="s">
        <v>168</v>
      </c>
      <c r="D9" s="18">
        <v>2</v>
      </c>
      <c r="E9" s="18">
        <v>10</v>
      </c>
      <c r="F9" s="20" t="s">
        <v>564</v>
      </c>
      <c r="G9" s="84">
        <v>29.25</v>
      </c>
      <c r="H9" s="84">
        <f>G9*((100-Discounts!$B$52)/100)</f>
        <v>13.1625</v>
      </c>
    </row>
    <row r="10" spans="1:14" ht="27" customHeight="1" x14ac:dyDescent="0.85">
      <c r="A10" s="16">
        <v>6</v>
      </c>
      <c r="B10" s="16">
        <v>2</v>
      </c>
      <c r="C10" s="16" t="s">
        <v>178</v>
      </c>
      <c r="D10" s="16">
        <v>1.45</v>
      </c>
      <c r="E10" s="16">
        <v>12</v>
      </c>
      <c r="F10" s="19" t="s">
        <v>565</v>
      </c>
      <c r="G10" s="83">
        <v>44</v>
      </c>
      <c r="H10" s="83">
        <f>G10*((100-Discounts!$B$52)/100)</f>
        <v>19.8</v>
      </c>
    </row>
    <row r="11" spans="1:14" ht="27" customHeight="1" x14ac:dyDescent="0.85">
      <c r="A11" s="18">
        <v>6</v>
      </c>
      <c r="B11" s="18">
        <v>2</v>
      </c>
      <c r="C11" s="18" t="s">
        <v>178</v>
      </c>
      <c r="D11" s="18">
        <v>1.7</v>
      </c>
      <c r="E11" s="18">
        <v>12</v>
      </c>
      <c r="F11" s="20" t="s">
        <v>565</v>
      </c>
      <c r="G11" s="84">
        <v>44</v>
      </c>
      <c r="H11" s="84">
        <f>G11*((100-Discounts!$B$52)/100)</f>
        <v>19.8</v>
      </c>
    </row>
    <row r="12" spans="1:14" ht="27" customHeight="1" x14ac:dyDescent="0.85">
      <c r="A12" s="16">
        <v>6</v>
      </c>
      <c r="B12" s="16">
        <v>2</v>
      </c>
      <c r="C12" s="16" t="s">
        <v>178</v>
      </c>
      <c r="D12" s="16">
        <v>2</v>
      </c>
      <c r="E12" s="16">
        <v>20</v>
      </c>
      <c r="F12" s="19" t="s">
        <v>565</v>
      </c>
      <c r="G12" s="83">
        <v>44</v>
      </c>
      <c r="H12" s="83">
        <f>G12*((100-Discounts!$B$52)/100)</f>
        <v>19.8</v>
      </c>
    </row>
    <row r="13" spans="1:14" ht="27" customHeight="1" x14ac:dyDescent="0.85">
      <c r="A13" s="18">
        <v>8</v>
      </c>
      <c r="B13" s="18">
        <v>1</v>
      </c>
      <c r="C13" s="18" t="s">
        <v>178</v>
      </c>
      <c r="D13" s="18">
        <v>1.7</v>
      </c>
      <c r="E13" s="18">
        <v>12</v>
      </c>
      <c r="F13" s="20" t="s">
        <v>566</v>
      </c>
      <c r="G13" s="84">
        <v>50</v>
      </c>
      <c r="H13" s="84">
        <f>G13*((100-Discounts!$B$52)/100)</f>
        <v>22.5</v>
      </c>
    </row>
    <row r="14" spans="1:14" ht="27" customHeight="1" thickBot="1" x14ac:dyDescent="0.9">
      <c r="A14" s="16">
        <v>8</v>
      </c>
      <c r="B14" s="16">
        <v>1</v>
      </c>
      <c r="C14" s="16" t="s">
        <v>178</v>
      </c>
      <c r="D14" s="16">
        <v>2</v>
      </c>
      <c r="E14" s="16">
        <v>10</v>
      </c>
      <c r="F14" s="19" t="s">
        <v>566</v>
      </c>
      <c r="G14" s="83">
        <v>50</v>
      </c>
      <c r="H14" s="83">
        <f>G14*((100-Discounts!$B$52)/100)</f>
        <v>22.5</v>
      </c>
    </row>
    <row r="15" spans="1:14" s="11" customFormat="1" ht="40.5" customHeight="1" thickTop="1" thickBot="1" x14ac:dyDescent="0.9">
      <c r="A15" s="168" t="s">
        <v>582</v>
      </c>
      <c r="B15" s="68"/>
      <c r="C15" s="68"/>
      <c r="D15" s="69"/>
      <c r="E15" s="68"/>
      <c r="F15" s="155"/>
      <c r="G15" s="171" t="s">
        <v>597</v>
      </c>
      <c r="H15" s="174" t="s">
        <v>323</v>
      </c>
      <c r="I15" s="73"/>
      <c r="J15" s="72"/>
      <c r="K15" s="73"/>
      <c r="L15" s="73"/>
      <c r="M15" s="74"/>
      <c r="N15" s="12"/>
    </row>
    <row r="16" spans="1:14" s="25" customFormat="1" ht="54" customHeight="1" thickTop="1" thickBot="1" x14ac:dyDescent="0.9">
      <c r="A16" s="70" t="s">
        <v>320</v>
      </c>
      <c r="B16" s="70" t="s">
        <v>171</v>
      </c>
      <c r="C16" s="70" t="s">
        <v>325</v>
      </c>
      <c r="D16" s="70" t="s">
        <v>321</v>
      </c>
      <c r="E16" s="70" t="s">
        <v>311</v>
      </c>
      <c r="F16" s="156" t="s">
        <v>322</v>
      </c>
      <c r="G16" s="172" t="s">
        <v>179</v>
      </c>
      <c r="H16" s="173" t="s">
        <v>199</v>
      </c>
      <c r="I16" s="71" t="s">
        <v>567</v>
      </c>
      <c r="J16" s="70" t="s">
        <v>568</v>
      </c>
      <c r="K16" s="70" t="s">
        <v>569</v>
      </c>
      <c r="L16" s="70" t="s">
        <v>570</v>
      </c>
      <c r="M16" s="70" t="s">
        <v>571</v>
      </c>
      <c r="N16" s="26"/>
    </row>
    <row r="17" spans="1:14" ht="27" customHeight="1" thickTop="1" x14ac:dyDescent="0.85">
      <c r="A17" s="16">
        <v>3</v>
      </c>
      <c r="B17" s="16" t="s">
        <v>168</v>
      </c>
      <c r="C17" s="16" t="s">
        <v>168</v>
      </c>
      <c r="D17" s="16">
        <v>1</v>
      </c>
      <c r="E17" s="16">
        <v>10</v>
      </c>
      <c r="F17" s="19" t="s">
        <v>576</v>
      </c>
      <c r="G17" s="83">
        <v>38</v>
      </c>
      <c r="H17" s="83">
        <f>G17*((100-Discounts!$B$53)/100)</f>
        <v>15.200000000000001</v>
      </c>
      <c r="I17" s="16">
        <v>2</v>
      </c>
      <c r="J17" s="16" t="s">
        <v>572</v>
      </c>
      <c r="K17" s="16" t="s">
        <v>573</v>
      </c>
      <c r="L17" s="16" t="s">
        <v>574</v>
      </c>
      <c r="M17" s="16" t="s">
        <v>575</v>
      </c>
    </row>
    <row r="18" spans="1:14" ht="27" customHeight="1" x14ac:dyDescent="0.85">
      <c r="A18" s="18">
        <v>3</v>
      </c>
      <c r="B18" s="18" t="s">
        <v>168</v>
      </c>
      <c r="C18" s="18" t="s">
        <v>168</v>
      </c>
      <c r="D18" s="18">
        <v>1.2</v>
      </c>
      <c r="E18" s="18">
        <v>10</v>
      </c>
      <c r="F18" s="20" t="s">
        <v>576</v>
      </c>
      <c r="G18" s="84">
        <v>38</v>
      </c>
      <c r="H18" s="84">
        <f>G18*((100-Discounts!$B$53)/100)</f>
        <v>15.200000000000001</v>
      </c>
      <c r="I18" s="18">
        <v>2</v>
      </c>
      <c r="J18" s="18" t="s">
        <v>572</v>
      </c>
      <c r="K18" s="18" t="s">
        <v>573</v>
      </c>
      <c r="L18" s="18" t="s">
        <v>574</v>
      </c>
      <c r="M18" s="18" t="s">
        <v>575</v>
      </c>
    </row>
    <row r="19" spans="1:14" ht="27" customHeight="1" x14ac:dyDescent="0.85">
      <c r="A19" s="16">
        <v>3</v>
      </c>
      <c r="B19" s="16" t="s">
        <v>168</v>
      </c>
      <c r="C19" s="16" t="s">
        <v>168</v>
      </c>
      <c r="D19" s="16">
        <v>1</v>
      </c>
      <c r="E19" s="16">
        <v>10</v>
      </c>
      <c r="F19" s="19" t="s">
        <v>576</v>
      </c>
      <c r="G19" s="83">
        <v>38</v>
      </c>
      <c r="H19" s="83">
        <f>G19*((100-Discounts!$B$53)/100)</f>
        <v>15.200000000000001</v>
      </c>
      <c r="I19" s="16">
        <v>2</v>
      </c>
      <c r="J19" s="16" t="s">
        <v>577</v>
      </c>
      <c r="K19" s="16" t="s">
        <v>573</v>
      </c>
      <c r="L19" s="16" t="s">
        <v>574</v>
      </c>
      <c r="M19" s="16" t="s">
        <v>575</v>
      </c>
    </row>
    <row r="20" spans="1:14" ht="27" customHeight="1" x14ac:dyDescent="0.85">
      <c r="A20" s="18">
        <v>4.5</v>
      </c>
      <c r="B20" s="18" t="s">
        <v>168</v>
      </c>
      <c r="C20" s="18" t="s">
        <v>168</v>
      </c>
      <c r="D20" s="18">
        <v>1</v>
      </c>
      <c r="E20" s="18">
        <v>10</v>
      </c>
      <c r="F20" s="20" t="s">
        <v>581</v>
      </c>
      <c r="G20" s="84">
        <v>58.5</v>
      </c>
      <c r="H20" s="84">
        <f>G20*((100-Discounts!$B$53)/100)</f>
        <v>23.400000000000002</v>
      </c>
      <c r="I20" s="18">
        <v>4</v>
      </c>
      <c r="J20" s="18" t="s">
        <v>572</v>
      </c>
      <c r="K20" s="18" t="s">
        <v>578</v>
      </c>
      <c r="L20" s="18" t="s">
        <v>579</v>
      </c>
      <c r="M20" s="18" t="s">
        <v>580</v>
      </c>
    </row>
    <row r="21" spans="1:14" ht="27" customHeight="1" thickBot="1" x14ac:dyDescent="0.9">
      <c r="A21" s="16">
        <v>4.5</v>
      </c>
      <c r="B21" s="16" t="s">
        <v>168</v>
      </c>
      <c r="C21" s="16" t="s">
        <v>168</v>
      </c>
      <c r="D21" s="16">
        <v>1.2</v>
      </c>
      <c r="E21" s="16">
        <v>10</v>
      </c>
      <c r="F21" s="19" t="s">
        <v>581</v>
      </c>
      <c r="G21" s="83">
        <v>58.5</v>
      </c>
      <c r="H21" s="83">
        <f>G21*((100-Discounts!$B$53)/100)</f>
        <v>23.400000000000002</v>
      </c>
      <c r="I21" s="16">
        <v>4</v>
      </c>
      <c r="J21" s="16" t="s">
        <v>572</v>
      </c>
      <c r="K21" s="16" t="s">
        <v>578</v>
      </c>
      <c r="L21" s="16" t="s">
        <v>579</v>
      </c>
      <c r="M21" s="16" t="s">
        <v>580</v>
      </c>
    </row>
    <row r="22" spans="1:14" s="11" customFormat="1" ht="40.5" customHeight="1" thickTop="1" thickBot="1" x14ac:dyDescent="0.9">
      <c r="A22" s="168" t="s">
        <v>583</v>
      </c>
      <c r="B22" s="68"/>
      <c r="C22" s="68"/>
      <c r="D22" s="69"/>
      <c r="E22" s="68"/>
      <c r="F22" s="155"/>
      <c r="G22" s="171" t="s">
        <v>597</v>
      </c>
      <c r="H22" s="174" t="s">
        <v>323</v>
      </c>
      <c r="I22" s="73"/>
      <c r="J22" s="72"/>
      <c r="K22" s="73"/>
      <c r="L22" s="73"/>
      <c r="M22" s="74"/>
      <c r="N22" s="12"/>
    </row>
    <row r="23" spans="1:14" s="25" customFormat="1" ht="54" customHeight="1" thickTop="1" thickBot="1" x14ac:dyDescent="0.9">
      <c r="A23" s="70" t="s">
        <v>320</v>
      </c>
      <c r="B23" s="70" t="s">
        <v>171</v>
      </c>
      <c r="C23" s="70" t="s">
        <v>325</v>
      </c>
      <c r="D23" s="70" t="s">
        <v>321</v>
      </c>
      <c r="E23" s="70" t="s">
        <v>311</v>
      </c>
      <c r="F23" s="156" t="s">
        <v>322</v>
      </c>
      <c r="G23" s="172" t="s">
        <v>179</v>
      </c>
      <c r="H23" s="173" t="s">
        <v>199</v>
      </c>
      <c r="I23" s="71" t="s">
        <v>567</v>
      </c>
      <c r="J23" s="70" t="s">
        <v>568</v>
      </c>
      <c r="K23" s="70" t="s">
        <v>569</v>
      </c>
      <c r="L23" s="70" t="s">
        <v>570</v>
      </c>
      <c r="M23" s="70" t="s">
        <v>571</v>
      </c>
      <c r="N23" s="26"/>
    </row>
    <row r="24" spans="1:14" ht="27" customHeight="1" thickTop="1" thickBot="1" x14ac:dyDescent="0.9">
      <c r="A24" s="16">
        <v>1.6</v>
      </c>
      <c r="B24" s="16" t="s">
        <v>168</v>
      </c>
      <c r="C24" s="16" t="s">
        <v>168</v>
      </c>
      <c r="D24" s="16">
        <v>1</v>
      </c>
      <c r="E24" s="16">
        <v>10</v>
      </c>
      <c r="F24" s="19" t="s">
        <v>584</v>
      </c>
      <c r="G24" s="83">
        <v>27</v>
      </c>
      <c r="H24" s="83">
        <f>G24*((100-Discounts!$B$53)/100)</f>
        <v>10.8</v>
      </c>
      <c r="I24" s="16">
        <v>0</v>
      </c>
      <c r="J24" s="16" t="s">
        <v>585</v>
      </c>
      <c r="K24" s="16" t="s">
        <v>586</v>
      </c>
      <c r="L24" s="16" t="s">
        <v>587</v>
      </c>
      <c r="M24" s="16" t="s">
        <v>588</v>
      </c>
    </row>
    <row r="25" spans="1:14" s="11" customFormat="1" ht="40.5" customHeight="1" thickTop="1" thickBot="1" x14ac:dyDescent="0.9">
      <c r="A25" s="168" t="s">
        <v>589</v>
      </c>
      <c r="B25" s="68"/>
      <c r="C25" s="68"/>
      <c r="D25" s="69"/>
      <c r="E25" s="68"/>
      <c r="F25" s="155"/>
      <c r="G25" s="171" t="s">
        <v>597</v>
      </c>
      <c r="H25" s="174" t="s">
        <v>323</v>
      </c>
      <c r="I25" s="73"/>
      <c r="J25" s="72"/>
      <c r="K25" s="73"/>
      <c r="L25" s="73"/>
      <c r="M25" s="74"/>
      <c r="N25" s="12"/>
    </row>
    <row r="26" spans="1:14" s="25" customFormat="1" ht="54" customHeight="1" thickTop="1" thickBot="1" x14ac:dyDescent="0.9">
      <c r="A26" s="70" t="s">
        <v>320</v>
      </c>
      <c r="B26" s="70" t="s">
        <v>171</v>
      </c>
      <c r="C26" s="70" t="s">
        <v>325</v>
      </c>
      <c r="D26" s="70" t="s">
        <v>321</v>
      </c>
      <c r="E26" s="70" t="s">
        <v>311</v>
      </c>
      <c r="F26" s="156" t="s">
        <v>322</v>
      </c>
      <c r="G26" s="172" t="s">
        <v>179</v>
      </c>
      <c r="H26" s="173" t="s">
        <v>199</v>
      </c>
      <c r="I26" s="71" t="s">
        <v>567</v>
      </c>
      <c r="J26" s="70" t="s">
        <v>568</v>
      </c>
      <c r="K26" s="70" t="s">
        <v>569</v>
      </c>
      <c r="L26" s="70" t="s">
        <v>570</v>
      </c>
      <c r="M26" s="70" t="s">
        <v>571</v>
      </c>
      <c r="N26" s="26"/>
    </row>
    <row r="27" spans="1:14" ht="27" customHeight="1" thickTop="1" thickBot="1" x14ac:dyDescent="0.9">
      <c r="A27" s="16">
        <v>3</v>
      </c>
      <c r="B27" s="16" t="s">
        <v>168</v>
      </c>
      <c r="C27" s="16" t="s">
        <v>168</v>
      </c>
      <c r="D27" s="16">
        <v>1.4</v>
      </c>
      <c r="E27" s="16">
        <v>10</v>
      </c>
      <c r="F27" s="19" t="s">
        <v>590</v>
      </c>
      <c r="G27" s="83">
        <v>40</v>
      </c>
      <c r="H27" s="83">
        <f>G27*((100-Discounts!$B$53)/100)</f>
        <v>16</v>
      </c>
      <c r="I27" s="16">
        <v>2</v>
      </c>
      <c r="J27" s="16" t="s">
        <v>572</v>
      </c>
      <c r="K27" s="16" t="s">
        <v>573</v>
      </c>
      <c r="L27" s="16" t="s">
        <v>574</v>
      </c>
      <c r="M27" s="16" t="s">
        <v>575</v>
      </c>
    </row>
    <row r="28" spans="1:14" s="11" customFormat="1" ht="40.5" customHeight="1" thickTop="1" thickBot="1" x14ac:dyDescent="0.9">
      <c r="A28" s="168" t="s">
        <v>591</v>
      </c>
      <c r="B28" s="68"/>
      <c r="C28" s="68"/>
      <c r="D28" s="69"/>
      <c r="E28" s="68"/>
      <c r="F28" s="155"/>
      <c r="G28" s="171" t="s">
        <v>597</v>
      </c>
      <c r="H28" s="171" t="s">
        <v>323</v>
      </c>
      <c r="J28" s="13"/>
      <c r="N28" s="12"/>
    </row>
    <row r="29" spans="1:14" s="25" customFormat="1" ht="54" customHeight="1" thickTop="1" thickBot="1" x14ac:dyDescent="0.9">
      <c r="A29" s="70" t="s">
        <v>320</v>
      </c>
      <c r="B29" s="70" t="s">
        <v>171</v>
      </c>
      <c r="C29" s="70" t="s">
        <v>325</v>
      </c>
      <c r="D29" s="70" t="s">
        <v>321</v>
      </c>
      <c r="E29" s="70" t="s">
        <v>311</v>
      </c>
      <c r="F29" s="156" t="s">
        <v>322</v>
      </c>
      <c r="G29" s="172" t="s">
        <v>179</v>
      </c>
      <c r="H29" s="173" t="s">
        <v>199</v>
      </c>
      <c r="J29" s="28"/>
      <c r="N29" s="26"/>
    </row>
    <row r="30" spans="1:14" ht="27" customHeight="1" thickTop="1" x14ac:dyDescent="0.85">
      <c r="A30" s="16">
        <v>3</v>
      </c>
      <c r="B30" s="16" t="s">
        <v>168</v>
      </c>
      <c r="C30" s="16" t="s">
        <v>168</v>
      </c>
      <c r="D30" s="16">
        <v>1</v>
      </c>
      <c r="E30" s="16">
        <v>10</v>
      </c>
      <c r="F30" s="19" t="s">
        <v>592</v>
      </c>
      <c r="G30" s="83">
        <v>16</v>
      </c>
      <c r="H30" s="83">
        <f>G30*((100-Discounts!$B$54)/100)</f>
        <v>6.4</v>
      </c>
    </row>
    <row r="31" spans="1:14" ht="27" customHeight="1" x14ac:dyDescent="0.85">
      <c r="A31" s="18">
        <v>3</v>
      </c>
      <c r="B31" s="18" t="s">
        <v>168</v>
      </c>
      <c r="C31" s="18" t="s">
        <v>168</v>
      </c>
      <c r="D31" s="18">
        <v>1.2</v>
      </c>
      <c r="E31" s="18">
        <v>10</v>
      </c>
      <c r="F31" s="20" t="s">
        <v>592</v>
      </c>
      <c r="G31" s="84">
        <v>16</v>
      </c>
      <c r="H31" s="84">
        <f>G31*((100-Discounts!$B$54)/100)</f>
        <v>6.4</v>
      </c>
    </row>
    <row r="32" spans="1:14" ht="27" customHeight="1" x14ac:dyDescent="0.85">
      <c r="A32" s="16">
        <v>3</v>
      </c>
      <c r="B32" s="16" t="s">
        <v>168</v>
      </c>
      <c r="C32" s="16" t="s">
        <v>168</v>
      </c>
      <c r="D32" s="16">
        <v>1.4</v>
      </c>
      <c r="E32" s="16">
        <v>10</v>
      </c>
      <c r="F32" s="19" t="s">
        <v>592</v>
      </c>
      <c r="G32" s="83">
        <v>16</v>
      </c>
      <c r="H32" s="83">
        <f>G32*((100-Discounts!$B$54)/100)</f>
        <v>6.4</v>
      </c>
    </row>
    <row r="33" spans="1:14" ht="27" customHeight="1" x14ac:dyDescent="0.85">
      <c r="A33" s="18">
        <v>3</v>
      </c>
      <c r="B33" s="18">
        <v>1</v>
      </c>
      <c r="C33" s="18" t="s">
        <v>172</v>
      </c>
      <c r="D33" s="18">
        <v>1</v>
      </c>
      <c r="E33" s="18">
        <v>10</v>
      </c>
      <c r="F33" s="20" t="s">
        <v>593</v>
      </c>
      <c r="G33" s="84">
        <v>17.5</v>
      </c>
      <c r="H33" s="84">
        <f>G33*((100-Discounts!$B$54)/100)</f>
        <v>7</v>
      </c>
    </row>
    <row r="34" spans="1:14" ht="27" customHeight="1" x14ac:dyDescent="0.85">
      <c r="A34" s="16">
        <v>3</v>
      </c>
      <c r="B34" s="16">
        <v>1</v>
      </c>
      <c r="C34" s="16" t="s">
        <v>172</v>
      </c>
      <c r="D34" s="16">
        <v>1.2</v>
      </c>
      <c r="E34" s="16">
        <v>10</v>
      </c>
      <c r="F34" s="19" t="s">
        <v>593</v>
      </c>
      <c r="G34" s="83">
        <v>17.5</v>
      </c>
      <c r="H34" s="83">
        <f>G34*((100-Discounts!$B$54)/100)</f>
        <v>7</v>
      </c>
    </row>
    <row r="35" spans="1:14" ht="27" customHeight="1" x14ac:dyDescent="0.85">
      <c r="A35" s="18">
        <v>4</v>
      </c>
      <c r="B35" s="18" t="s">
        <v>168</v>
      </c>
      <c r="C35" s="18" t="s">
        <v>168</v>
      </c>
      <c r="D35" s="18">
        <v>1</v>
      </c>
      <c r="E35" s="18">
        <v>10</v>
      </c>
      <c r="F35" s="20" t="s">
        <v>594</v>
      </c>
      <c r="G35" s="84">
        <v>22.75</v>
      </c>
      <c r="H35" s="84">
        <f>G35*((100-Discounts!$B$54)/100)</f>
        <v>9.1</v>
      </c>
    </row>
    <row r="36" spans="1:14" ht="27" customHeight="1" thickBot="1" x14ac:dyDescent="0.9">
      <c r="A36" s="16">
        <v>4</v>
      </c>
      <c r="B36" s="16" t="s">
        <v>168</v>
      </c>
      <c r="C36" s="16" t="s">
        <v>168</v>
      </c>
      <c r="D36" s="16">
        <v>1.2</v>
      </c>
      <c r="E36" s="16">
        <v>10</v>
      </c>
      <c r="F36" s="19" t="s">
        <v>594</v>
      </c>
      <c r="G36" s="83">
        <v>22.75</v>
      </c>
      <c r="H36" s="83">
        <f>G36*((100-Discounts!$B$54)/100)</f>
        <v>9.1</v>
      </c>
    </row>
    <row r="37" spans="1:14" s="11" customFormat="1" ht="40.5" customHeight="1" thickTop="1" thickBot="1" x14ac:dyDescent="0.9">
      <c r="A37" s="168" t="s">
        <v>595</v>
      </c>
      <c r="B37" s="68"/>
      <c r="C37" s="68"/>
      <c r="D37" s="69"/>
      <c r="E37" s="68"/>
      <c r="F37" s="155"/>
      <c r="G37" s="171" t="s">
        <v>597</v>
      </c>
      <c r="H37" s="171" t="s">
        <v>323</v>
      </c>
      <c r="J37" s="13"/>
      <c r="N37" s="12"/>
    </row>
    <row r="38" spans="1:14" s="25" customFormat="1" ht="54" customHeight="1" thickTop="1" thickBot="1" x14ac:dyDescent="0.9">
      <c r="A38" s="70" t="s">
        <v>320</v>
      </c>
      <c r="B38" s="70" t="s">
        <v>171</v>
      </c>
      <c r="C38" s="70" t="s">
        <v>325</v>
      </c>
      <c r="D38" s="70" t="s">
        <v>321</v>
      </c>
      <c r="E38" s="70" t="s">
        <v>311</v>
      </c>
      <c r="F38" s="156" t="s">
        <v>322</v>
      </c>
      <c r="G38" s="172" t="s">
        <v>179</v>
      </c>
      <c r="H38" s="173" t="s">
        <v>199</v>
      </c>
      <c r="J38" s="28"/>
      <c r="N38" s="26"/>
    </row>
    <row r="39" spans="1:14" ht="27" customHeight="1" thickTop="1" x14ac:dyDescent="0.85">
      <c r="A39" s="16">
        <v>3</v>
      </c>
      <c r="B39" s="16" t="s">
        <v>168</v>
      </c>
      <c r="C39" s="16" t="s">
        <v>168</v>
      </c>
      <c r="D39" s="16">
        <v>1</v>
      </c>
      <c r="E39" s="16">
        <v>10</v>
      </c>
      <c r="F39" s="19" t="s">
        <v>596</v>
      </c>
      <c r="G39" s="83">
        <v>24.25</v>
      </c>
      <c r="H39" s="83">
        <f>G39*((100-Discounts!$B$54)/100)</f>
        <v>9.7000000000000011</v>
      </c>
    </row>
    <row r="40" spans="1:14" ht="27" customHeight="1" x14ac:dyDescent="0.85">
      <c r="A40" s="18">
        <v>3</v>
      </c>
      <c r="B40" s="18" t="s">
        <v>168</v>
      </c>
      <c r="C40" s="18" t="s">
        <v>168</v>
      </c>
      <c r="D40" s="18">
        <v>1.2</v>
      </c>
      <c r="E40" s="18">
        <v>10</v>
      </c>
      <c r="F40" s="20" t="s">
        <v>596</v>
      </c>
      <c r="G40" s="84">
        <v>24.25</v>
      </c>
      <c r="H40" s="84">
        <f>G40*((100-Discounts!$B$54)/100)</f>
        <v>9.7000000000000011</v>
      </c>
    </row>
    <row r="41" spans="1:14" ht="27" customHeight="1" thickBot="1" x14ac:dyDescent="0.9">
      <c r="A41" s="16">
        <v>3</v>
      </c>
      <c r="B41" s="16" t="s">
        <v>168</v>
      </c>
      <c r="C41" s="16" t="s">
        <v>168</v>
      </c>
      <c r="D41" s="16">
        <v>1.4</v>
      </c>
      <c r="E41" s="16">
        <v>10</v>
      </c>
      <c r="F41" s="19" t="s">
        <v>596</v>
      </c>
      <c r="G41" s="83">
        <v>24.25</v>
      </c>
      <c r="H41" s="83">
        <f>G41*((100-Discounts!$B$54)/100)</f>
        <v>9.7000000000000011</v>
      </c>
    </row>
    <row r="42" spans="1:14" s="11" customFormat="1" ht="40.5" customHeight="1" thickTop="1" thickBot="1" x14ac:dyDescent="0.9">
      <c r="A42" s="168" t="s">
        <v>609</v>
      </c>
      <c r="B42" s="68"/>
      <c r="C42" s="68"/>
      <c r="D42" s="69"/>
      <c r="E42" s="68"/>
      <c r="F42" s="155"/>
      <c r="G42" s="171" t="s">
        <v>597</v>
      </c>
      <c r="H42" s="171" t="s">
        <v>323</v>
      </c>
      <c r="J42" s="13"/>
      <c r="N42" s="12"/>
    </row>
    <row r="43" spans="1:14" s="25" customFormat="1" ht="54" customHeight="1" thickTop="1" thickBot="1" x14ac:dyDescent="0.9">
      <c r="A43" s="70" t="s">
        <v>320</v>
      </c>
      <c r="B43" s="70" t="s">
        <v>171</v>
      </c>
      <c r="C43" s="70" t="s">
        <v>325</v>
      </c>
      <c r="D43" s="70" t="s">
        <v>321</v>
      </c>
      <c r="E43" s="70" t="s">
        <v>311</v>
      </c>
      <c r="F43" s="156" t="s">
        <v>322</v>
      </c>
      <c r="G43" s="172" t="s">
        <v>701</v>
      </c>
      <c r="H43" s="173" t="s">
        <v>700</v>
      </c>
      <c r="J43" s="28"/>
      <c r="N43" s="26"/>
    </row>
    <row r="44" spans="1:14" ht="27" customHeight="1" thickTop="1" x14ac:dyDescent="0.85">
      <c r="A44" s="16">
        <v>2.7</v>
      </c>
      <c r="B44" s="16" t="s">
        <v>168</v>
      </c>
      <c r="C44" s="16" t="s">
        <v>168</v>
      </c>
      <c r="D44" s="16">
        <v>0.2</v>
      </c>
      <c r="E44" s="16">
        <v>10</v>
      </c>
      <c r="F44" s="19" t="s">
        <v>600</v>
      </c>
      <c r="G44" s="83">
        <v>2.75</v>
      </c>
      <c r="H44" s="83">
        <f>G44*((100-Discounts!$B$55)/100)</f>
        <v>1.1000000000000001</v>
      </c>
    </row>
    <row r="45" spans="1:14" ht="27" customHeight="1" x14ac:dyDescent="0.85">
      <c r="A45" s="18">
        <v>2.7</v>
      </c>
      <c r="B45" s="18" t="s">
        <v>168</v>
      </c>
      <c r="C45" s="18" t="s">
        <v>168</v>
      </c>
      <c r="D45" s="18">
        <v>0.3</v>
      </c>
      <c r="E45" s="18">
        <v>10</v>
      </c>
      <c r="F45" s="20" t="s">
        <v>601</v>
      </c>
      <c r="G45" s="84">
        <v>4.25</v>
      </c>
      <c r="H45" s="84">
        <f>G45*((100-Discounts!$B$55)/100)</f>
        <v>1.7000000000000002</v>
      </c>
    </row>
    <row r="46" spans="1:14" ht="27" customHeight="1" x14ac:dyDescent="0.85">
      <c r="A46" s="16">
        <v>2.7</v>
      </c>
      <c r="B46" s="16" t="s">
        <v>168</v>
      </c>
      <c r="C46" s="16" t="s">
        <v>168</v>
      </c>
      <c r="D46" s="16">
        <v>0.4</v>
      </c>
      <c r="E46" s="16">
        <v>10</v>
      </c>
      <c r="F46" s="19" t="s">
        <v>602</v>
      </c>
      <c r="G46" s="83">
        <v>5.75</v>
      </c>
      <c r="H46" s="83">
        <f>G46*((100-Discounts!$B$55)/100)</f>
        <v>2.3000000000000003</v>
      </c>
    </row>
    <row r="47" spans="1:14" ht="27" customHeight="1" x14ac:dyDescent="0.85">
      <c r="A47" s="18">
        <v>2.7</v>
      </c>
      <c r="B47" s="18" t="s">
        <v>168</v>
      </c>
      <c r="C47" s="18" t="s">
        <v>168</v>
      </c>
      <c r="D47" s="18">
        <v>0.5</v>
      </c>
      <c r="E47" s="18">
        <v>10</v>
      </c>
      <c r="F47" s="20" t="s">
        <v>603</v>
      </c>
      <c r="G47" s="84">
        <v>7</v>
      </c>
      <c r="H47" s="84">
        <f>G47*((100-Discounts!$B$55)/100)</f>
        <v>2.8000000000000003</v>
      </c>
    </row>
    <row r="48" spans="1:14" ht="27" customHeight="1" x14ac:dyDescent="0.85">
      <c r="A48" s="16">
        <v>2.7</v>
      </c>
      <c r="B48" s="16" t="s">
        <v>168</v>
      </c>
      <c r="C48" s="16" t="s">
        <v>168</v>
      </c>
      <c r="D48" s="16">
        <v>0.6</v>
      </c>
      <c r="E48" s="16">
        <v>10</v>
      </c>
      <c r="F48" s="19" t="s">
        <v>604</v>
      </c>
      <c r="G48" s="83">
        <v>8.5</v>
      </c>
      <c r="H48" s="83">
        <f>G48*((100-Discounts!$B$55)/100)</f>
        <v>3.4000000000000004</v>
      </c>
    </row>
    <row r="49" spans="1:14" ht="27" customHeight="1" x14ac:dyDescent="0.85">
      <c r="A49" s="18">
        <v>2.7</v>
      </c>
      <c r="B49" s="18" t="s">
        <v>168</v>
      </c>
      <c r="C49" s="18" t="s">
        <v>168</v>
      </c>
      <c r="D49" s="18">
        <v>0.7</v>
      </c>
      <c r="E49" s="18">
        <v>10</v>
      </c>
      <c r="F49" s="20" t="s">
        <v>605</v>
      </c>
      <c r="G49" s="84">
        <v>10</v>
      </c>
      <c r="H49" s="84">
        <f>G49*((100-Discounts!$B$55)/100)</f>
        <v>4</v>
      </c>
    </row>
    <row r="50" spans="1:14" ht="27" customHeight="1" x14ac:dyDescent="0.85">
      <c r="A50" s="16">
        <v>2.7</v>
      </c>
      <c r="B50" s="16" t="s">
        <v>168</v>
      </c>
      <c r="C50" s="16" t="s">
        <v>168</v>
      </c>
      <c r="D50" s="16">
        <v>0.8</v>
      </c>
      <c r="E50" s="16">
        <v>10</v>
      </c>
      <c r="F50" s="19" t="s">
        <v>606</v>
      </c>
      <c r="G50" s="83">
        <v>11.25</v>
      </c>
      <c r="H50" s="83">
        <f>G50*((100-Discounts!$B$55)/100)</f>
        <v>4.5</v>
      </c>
    </row>
    <row r="51" spans="1:14" ht="27" customHeight="1" thickBot="1" x14ac:dyDescent="0.9">
      <c r="A51" s="18">
        <v>2.7</v>
      </c>
      <c r="B51" s="18" t="s">
        <v>168</v>
      </c>
      <c r="C51" s="18" t="s">
        <v>168</v>
      </c>
      <c r="D51" s="18">
        <v>0.9</v>
      </c>
      <c r="E51" s="18">
        <v>10</v>
      </c>
      <c r="F51" s="20" t="s">
        <v>607</v>
      </c>
      <c r="G51" s="84">
        <v>12.75</v>
      </c>
      <c r="H51" s="84">
        <f>G51*((100-Discounts!$B$55)/100)</f>
        <v>5.1000000000000005</v>
      </c>
    </row>
    <row r="52" spans="1:14" s="11" customFormat="1" ht="40.5" customHeight="1" thickTop="1" thickBot="1" x14ac:dyDescent="0.9">
      <c r="A52" s="168" t="s">
        <v>609</v>
      </c>
      <c r="B52" s="68"/>
      <c r="C52" s="68"/>
      <c r="D52" s="69"/>
      <c r="E52" s="68"/>
      <c r="F52" s="155"/>
      <c r="G52" s="171" t="s">
        <v>597</v>
      </c>
      <c r="H52" s="171" t="s">
        <v>323</v>
      </c>
      <c r="J52" s="13"/>
      <c r="N52" s="12"/>
    </row>
    <row r="53" spans="1:14" s="25" customFormat="1" ht="54" customHeight="1" thickTop="1" thickBot="1" x14ac:dyDescent="0.9">
      <c r="A53" s="70" t="s">
        <v>320</v>
      </c>
      <c r="B53" s="70" t="s">
        <v>171</v>
      </c>
      <c r="C53" s="70" t="s">
        <v>325</v>
      </c>
      <c r="D53" s="70" t="s">
        <v>321</v>
      </c>
      <c r="E53" s="70" t="s">
        <v>311</v>
      </c>
      <c r="F53" s="156" t="s">
        <v>322</v>
      </c>
      <c r="G53" s="172" t="s">
        <v>179</v>
      </c>
      <c r="H53" s="173" t="s">
        <v>199</v>
      </c>
      <c r="J53" s="28"/>
      <c r="N53" s="26"/>
    </row>
    <row r="54" spans="1:14" ht="27" customHeight="1" thickTop="1" x14ac:dyDescent="0.85">
      <c r="A54" s="16">
        <v>2.7</v>
      </c>
      <c r="B54" s="16" t="s">
        <v>168</v>
      </c>
      <c r="C54" s="16" t="s">
        <v>168</v>
      </c>
      <c r="D54" s="16">
        <v>1</v>
      </c>
      <c r="E54" s="16">
        <v>10</v>
      </c>
      <c r="F54" s="19" t="s">
        <v>608</v>
      </c>
      <c r="G54" s="83">
        <v>13.5</v>
      </c>
      <c r="H54" s="83">
        <f>G54*((100-Discounts!$B$55)/100)</f>
        <v>5.4</v>
      </c>
    </row>
    <row r="55" spans="1:14" ht="27" customHeight="1" x14ac:dyDescent="0.85">
      <c r="A55" s="18">
        <v>2.7</v>
      </c>
      <c r="B55" s="18" t="s">
        <v>168</v>
      </c>
      <c r="C55" s="18" t="s">
        <v>168</v>
      </c>
      <c r="D55" s="18">
        <v>1.2</v>
      </c>
      <c r="E55" s="18">
        <v>10</v>
      </c>
      <c r="F55" s="20" t="s">
        <v>608</v>
      </c>
      <c r="G55" s="84">
        <v>13.5</v>
      </c>
      <c r="H55" s="84">
        <f>G55*((100-Discounts!$B$55)/100)</f>
        <v>5.4</v>
      </c>
    </row>
    <row r="56" spans="1:14" ht="27" customHeight="1" x14ac:dyDescent="0.85">
      <c r="A56" s="16">
        <v>2.7</v>
      </c>
      <c r="B56" s="16" t="s">
        <v>168</v>
      </c>
      <c r="C56" s="16" t="s">
        <v>168</v>
      </c>
      <c r="D56" s="16">
        <v>1.4</v>
      </c>
      <c r="E56" s="16">
        <v>10</v>
      </c>
      <c r="F56" s="19" t="s">
        <v>608</v>
      </c>
      <c r="G56" s="83">
        <v>13.5</v>
      </c>
      <c r="H56" s="83">
        <f>G56*((100-Discounts!$B$55)/100)</f>
        <v>5.4</v>
      </c>
    </row>
    <row r="57" spans="1:14" ht="27" customHeight="1" thickBot="1" x14ac:dyDescent="0.9">
      <c r="A57" s="18">
        <v>2.7</v>
      </c>
      <c r="B57" s="18" t="s">
        <v>168</v>
      </c>
      <c r="C57" s="18" t="s">
        <v>168</v>
      </c>
      <c r="D57" s="18">
        <v>1.5</v>
      </c>
      <c r="E57" s="18">
        <v>10</v>
      </c>
      <c r="F57" s="20" t="s">
        <v>608</v>
      </c>
      <c r="G57" s="84">
        <v>13.5</v>
      </c>
      <c r="H57" s="84">
        <f>G57*((100-Discounts!$B$55)/100)</f>
        <v>5.4</v>
      </c>
    </row>
    <row r="58" spans="1:14" s="11" customFormat="1" ht="40.5" customHeight="1" thickTop="1" thickBot="1" x14ac:dyDescent="0.9">
      <c r="A58" s="168" t="s">
        <v>599</v>
      </c>
      <c r="B58" s="68"/>
      <c r="C58" s="68"/>
      <c r="D58" s="69"/>
      <c r="E58" s="68"/>
      <c r="F58" s="155"/>
      <c r="G58" s="171" t="s">
        <v>597</v>
      </c>
      <c r="H58" s="171" t="s">
        <v>323</v>
      </c>
      <c r="J58" s="13"/>
      <c r="N58" s="12"/>
    </row>
    <row r="59" spans="1:14" s="25" customFormat="1" ht="54" customHeight="1" thickTop="1" thickBot="1" x14ac:dyDescent="0.9">
      <c r="A59" s="70" t="s">
        <v>320</v>
      </c>
      <c r="B59" s="70" t="s">
        <v>171</v>
      </c>
      <c r="C59" s="70" t="s">
        <v>325</v>
      </c>
      <c r="D59" s="70" t="s">
        <v>321</v>
      </c>
      <c r="E59" s="70" t="s">
        <v>311</v>
      </c>
      <c r="F59" s="156" t="s">
        <v>322</v>
      </c>
      <c r="G59" s="172" t="s">
        <v>179</v>
      </c>
      <c r="H59" s="173" t="s">
        <v>199</v>
      </c>
      <c r="J59" s="28"/>
      <c r="N59" s="26"/>
    </row>
    <row r="60" spans="1:14" ht="27" customHeight="1" thickTop="1" x14ac:dyDescent="0.85">
      <c r="A60" s="16">
        <v>3</v>
      </c>
      <c r="B60" s="16" t="s">
        <v>168</v>
      </c>
      <c r="C60" s="16" t="s">
        <v>168</v>
      </c>
      <c r="D60" s="16">
        <v>1</v>
      </c>
      <c r="E60" s="16">
        <v>10</v>
      </c>
      <c r="F60" s="19" t="s">
        <v>598</v>
      </c>
      <c r="G60" s="83">
        <v>21.5</v>
      </c>
      <c r="H60" s="83">
        <f>G60*((100-Discounts!$B$56)/100)</f>
        <v>8.6</v>
      </c>
    </row>
    <row r="61" spans="1:14" ht="27" customHeight="1" thickBot="1" x14ac:dyDescent="0.9">
      <c r="A61" s="18">
        <v>3</v>
      </c>
      <c r="B61" s="18" t="s">
        <v>168</v>
      </c>
      <c r="C61" s="18" t="s">
        <v>168</v>
      </c>
      <c r="D61" s="18">
        <v>1.2</v>
      </c>
      <c r="E61" s="18">
        <v>10</v>
      </c>
      <c r="F61" s="20" t="s">
        <v>598</v>
      </c>
      <c r="G61" s="84">
        <v>21.5</v>
      </c>
      <c r="H61" s="84">
        <f>G61*((100-Discounts!$B$56)/100)</f>
        <v>8.6</v>
      </c>
    </row>
    <row r="62" spans="1:14" s="11" customFormat="1" ht="40.5" customHeight="1" thickTop="1" thickBot="1" x14ac:dyDescent="0.9">
      <c r="A62" s="168" t="s">
        <v>610</v>
      </c>
      <c r="B62" s="68"/>
      <c r="C62" s="68"/>
      <c r="D62" s="69"/>
      <c r="E62" s="68"/>
      <c r="F62" s="155"/>
      <c r="G62" s="171" t="s">
        <v>597</v>
      </c>
      <c r="H62" s="171" t="s">
        <v>323</v>
      </c>
      <c r="J62" s="13"/>
      <c r="N62" s="12"/>
    </row>
    <row r="63" spans="1:14" s="25" customFormat="1" ht="54" customHeight="1" thickTop="1" thickBot="1" x14ac:dyDescent="0.9">
      <c r="A63" s="70" t="s">
        <v>320</v>
      </c>
      <c r="B63" s="70" t="s">
        <v>171</v>
      </c>
      <c r="C63" s="70" t="s">
        <v>325</v>
      </c>
      <c r="D63" s="70" t="s">
        <v>321</v>
      </c>
      <c r="E63" s="70" t="s">
        <v>311</v>
      </c>
      <c r="F63" s="156" t="s">
        <v>322</v>
      </c>
      <c r="G63" s="172" t="s">
        <v>179</v>
      </c>
      <c r="H63" s="173" t="s">
        <v>199</v>
      </c>
      <c r="J63" s="28"/>
      <c r="N63" s="26"/>
    </row>
    <row r="64" spans="1:14" ht="27" customHeight="1" thickTop="1" x14ac:dyDescent="0.85">
      <c r="A64" s="16">
        <v>2.5</v>
      </c>
      <c r="B64" s="16" t="s">
        <v>168</v>
      </c>
      <c r="C64" s="16" t="s">
        <v>168</v>
      </c>
      <c r="D64" s="16">
        <v>1</v>
      </c>
      <c r="E64" s="16">
        <v>10</v>
      </c>
      <c r="F64" s="19" t="s">
        <v>611</v>
      </c>
      <c r="G64" s="83">
        <v>11.5</v>
      </c>
      <c r="H64" s="83">
        <f>G64*((100-Discounts!$B$57)/100)</f>
        <v>4.6000000000000005</v>
      </c>
    </row>
    <row r="65" spans="1:14" ht="27" customHeight="1" thickBot="1" x14ac:dyDescent="0.9">
      <c r="A65" s="18">
        <v>2.5</v>
      </c>
      <c r="B65" s="18" t="s">
        <v>168</v>
      </c>
      <c r="C65" s="18" t="s">
        <v>168</v>
      </c>
      <c r="D65" s="18">
        <v>1.2</v>
      </c>
      <c r="E65" s="18">
        <v>10</v>
      </c>
      <c r="F65" s="20" t="s">
        <v>611</v>
      </c>
      <c r="G65" s="84">
        <v>11.5</v>
      </c>
      <c r="H65" s="84">
        <f>G65*((100-Discounts!$B$57)/100)</f>
        <v>4.6000000000000005</v>
      </c>
    </row>
    <row r="66" spans="1:14" s="11" customFormat="1" ht="40.5" customHeight="1" thickTop="1" thickBot="1" x14ac:dyDescent="0.9">
      <c r="A66" s="168" t="s">
        <v>169</v>
      </c>
      <c r="B66" s="68"/>
      <c r="C66" s="68"/>
      <c r="D66" s="69"/>
      <c r="E66" s="68"/>
      <c r="F66" s="155"/>
      <c r="G66" s="171" t="s">
        <v>597</v>
      </c>
      <c r="H66" s="171" t="s">
        <v>323</v>
      </c>
      <c r="J66" s="13"/>
      <c r="N66" s="12"/>
    </row>
    <row r="67" spans="1:14" s="25" customFormat="1" ht="54" customHeight="1" thickTop="1" thickBot="1" x14ac:dyDescent="0.9">
      <c r="A67" s="70" t="s">
        <v>320</v>
      </c>
      <c r="B67" s="70" t="s">
        <v>171</v>
      </c>
      <c r="C67" s="70" t="s">
        <v>325</v>
      </c>
      <c r="D67" s="70" t="s">
        <v>321</v>
      </c>
      <c r="E67" s="70" t="s">
        <v>311</v>
      </c>
      <c r="F67" s="156" t="s">
        <v>322</v>
      </c>
      <c r="G67" s="172" t="s">
        <v>179</v>
      </c>
      <c r="H67" s="173" t="s">
        <v>199</v>
      </c>
      <c r="J67" s="28"/>
      <c r="N67" s="26"/>
    </row>
    <row r="68" spans="1:14" ht="27" customHeight="1" thickTop="1" x14ac:dyDescent="0.85">
      <c r="A68" s="16">
        <v>3</v>
      </c>
      <c r="B68" s="16" t="s">
        <v>168</v>
      </c>
      <c r="C68" s="16" t="s">
        <v>168</v>
      </c>
      <c r="D68" s="16">
        <v>1</v>
      </c>
      <c r="E68" s="16">
        <v>10</v>
      </c>
      <c r="F68" s="19" t="s">
        <v>612</v>
      </c>
      <c r="G68" s="83">
        <v>16.25</v>
      </c>
      <c r="H68" s="83">
        <f>G68*((100-Discounts!$B$58)/100)</f>
        <v>6.5</v>
      </c>
    </row>
    <row r="69" spans="1:14" ht="27" customHeight="1" x14ac:dyDescent="0.85">
      <c r="A69" s="18">
        <v>3</v>
      </c>
      <c r="B69" s="18" t="s">
        <v>168</v>
      </c>
      <c r="C69" s="18" t="s">
        <v>168</v>
      </c>
      <c r="D69" s="18">
        <v>1.2</v>
      </c>
      <c r="E69" s="18">
        <v>10</v>
      </c>
      <c r="F69" s="20" t="s">
        <v>612</v>
      </c>
      <c r="G69" s="84">
        <v>16.25</v>
      </c>
      <c r="H69" s="84">
        <f>G69*((100-Discounts!$B$58)/100)</f>
        <v>6.5</v>
      </c>
    </row>
    <row r="70" spans="1:14" ht="27" customHeight="1" x14ac:dyDescent="0.85">
      <c r="A70" s="16">
        <v>3</v>
      </c>
      <c r="B70" s="16" t="s">
        <v>168</v>
      </c>
      <c r="C70" s="16" t="s">
        <v>168</v>
      </c>
      <c r="D70" s="16">
        <v>1.4</v>
      </c>
      <c r="E70" s="16">
        <v>10</v>
      </c>
      <c r="F70" s="19" t="s">
        <v>612</v>
      </c>
      <c r="G70" s="83">
        <v>16.25</v>
      </c>
      <c r="H70" s="83">
        <f>G70*((100-Discounts!$B$58)/100)</f>
        <v>6.5</v>
      </c>
    </row>
    <row r="71" spans="1:14" ht="27" customHeight="1" thickBot="1" x14ac:dyDescent="0.9">
      <c r="A71" s="18">
        <v>3</v>
      </c>
      <c r="B71" s="18" t="s">
        <v>168</v>
      </c>
      <c r="C71" s="18" t="s">
        <v>168</v>
      </c>
      <c r="D71" s="18">
        <v>1.6</v>
      </c>
      <c r="E71" s="18">
        <v>10</v>
      </c>
      <c r="F71" s="20" t="s">
        <v>612</v>
      </c>
      <c r="G71" s="84">
        <v>16.25</v>
      </c>
      <c r="H71" s="84">
        <f>G71*((100-Discounts!$B$58)/100)</f>
        <v>6.5</v>
      </c>
    </row>
    <row r="72" spans="1:14" s="11" customFormat="1" ht="40.5" customHeight="1" thickTop="1" thickBot="1" x14ac:dyDescent="0.9">
      <c r="A72" s="168" t="s">
        <v>613</v>
      </c>
      <c r="B72" s="68"/>
      <c r="C72" s="68"/>
      <c r="D72" s="69"/>
      <c r="E72" s="68"/>
      <c r="F72" s="155"/>
      <c r="G72" s="171" t="s">
        <v>597</v>
      </c>
      <c r="H72" s="171" t="s">
        <v>323</v>
      </c>
      <c r="J72" s="13"/>
      <c r="N72" s="12"/>
    </row>
    <row r="73" spans="1:14" s="25" customFormat="1" ht="54" customHeight="1" thickTop="1" thickBot="1" x14ac:dyDescent="0.9">
      <c r="A73" s="70" t="s">
        <v>320</v>
      </c>
      <c r="B73" s="70" t="s">
        <v>171</v>
      </c>
      <c r="C73" s="70" t="s">
        <v>325</v>
      </c>
      <c r="D73" s="70" t="s">
        <v>321</v>
      </c>
      <c r="E73" s="70" t="s">
        <v>311</v>
      </c>
      <c r="F73" s="156" t="s">
        <v>322</v>
      </c>
      <c r="G73" s="172" t="s">
        <v>179</v>
      </c>
      <c r="H73" s="173" t="s">
        <v>199</v>
      </c>
      <c r="J73" s="28"/>
      <c r="N73" s="26"/>
    </row>
    <row r="74" spans="1:14" ht="27" customHeight="1" thickTop="1" thickBot="1" x14ac:dyDescent="0.9">
      <c r="A74" s="16">
        <v>3</v>
      </c>
      <c r="B74" s="16" t="s">
        <v>168</v>
      </c>
      <c r="C74" s="16" t="s">
        <v>168</v>
      </c>
      <c r="D74" s="16">
        <v>1.2</v>
      </c>
      <c r="E74" s="16">
        <v>10</v>
      </c>
      <c r="F74" s="19" t="s">
        <v>614</v>
      </c>
      <c r="G74" s="83">
        <v>17.25</v>
      </c>
      <c r="H74" s="83">
        <f>G74*((100-Discounts!$B$59)/100)</f>
        <v>6.9</v>
      </c>
    </row>
    <row r="75" spans="1:14" s="11" customFormat="1" ht="40.5" customHeight="1" thickTop="1" thickBot="1" x14ac:dyDescent="0.9">
      <c r="A75" s="168" t="s">
        <v>617</v>
      </c>
      <c r="B75" s="68"/>
      <c r="C75" s="68"/>
      <c r="D75" s="69"/>
      <c r="E75" s="68"/>
      <c r="F75" s="155"/>
      <c r="G75" s="171" t="s">
        <v>597</v>
      </c>
      <c r="H75" s="171" t="s">
        <v>323</v>
      </c>
      <c r="J75" s="13"/>
      <c r="N75" s="12"/>
    </row>
    <row r="76" spans="1:14" s="25" customFormat="1" ht="54" customHeight="1" thickTop="1" thickBot="1" x14ac:dyDescent="0.9">
      <c r="A76" s="70" t="s">
        <v>320</v>
      </c>
      <c r="B76" s="70" t="s">
        <v>171</v>
      </c>
      <c r="C76" s="70" t="s">
        <v>325</v>
      </c>
      <c r="D76" s="70" t="s">
        <v>321</v>
      </c>
      <c r="E76" s="70" t="s">
        <v>311</v>
      </c>
      <c r="F76" s="156" t="s">
        <v>322</v>
      </c>
      <c r="G76" s="172" t="s">
        <v>179</v>
      </c>
      <c r="H76" s="173" t="s">
        <v>199</v>
      </c>
      <c r="J76" s="28"/>
      <c r="N76" s="26"/>
    </row>
    <row r="77" spans="1:14" ht="27" customHeight="1" thickTop="1" x14ac:dyDescent="0.85">
      <c r="A77" s="16">
        <v>5</v>
      </c>
      <c r="B77" s="16" t="s">
        <v>168</v>
      </c>
      <c r="C77" s="16" t="s">
        <v>168</v>
      </c>
      <c r="D77" s="16">
        <v>1</v>
      </c>
      <c r="E77" s="16">
        <v>10</v>
      </c>
      <c r="F77" s="19" t="s">
        <v>615</v>
      </c>
      <c r="G77" s="83">
        <v>29.25</v>
      </c>
      <c r="H77" s="83">
        <f>G77*((100-Discounts!$B$60)/100)</f>
        <v>11.700000000000001</v>
      </c>
    </row>
    <row r="78" spans="1:14" ht="27" customHeight="1" x14ac:dyDescent="0.85">
      <c r="A78" s="18">
        <v>5</v>
      </c>
      <c r="B78" s="18" t="s">
        <v>168</v>
      </c>
      <c r="C78" s="18" t="s">
        <v>168</v>
      </c>
      <c r="D78" s="18">
        <v>1.2</v>
      </c>
      <c r="E78" s="18">
        <v>10</v>
      </c>
      <c r="F78" s="20" t="s">
        <v>615</v>
      </c>
      <c r="G78" s="84">
        <v>29.25</v>
      </c>
      <c r="H78" s="84">
        <f>G78*((100-Discounts!$B$60)/100)</f>
        <v>11.700000000000001</v>
      </c>
    </row>
    <row r="79" spans="1:14" ht="27" customHeight="1" x14ac:dyDescent="0.85">
      <c r="A79" s="16">
        <v>6</v>
      </c>
      <c r="B79" s="16" t="s">
        <v>168</v>
      </c>
      <c r="C79" s="16" t="s">
        <v>168</v>
      </c>
      <c r="D79" s="16">
        <v>1</v>
      </c>
      <c r="E79" s="16">
        <v>10</v>
      </c>
      <c r="F79" s="19" t="s">
        <v>616</v>
      </c>
      <c r="G79" s="83">
        <v>37.5</v>
      </c>
      <c r="H79" s="83">
        <f>G79*((100-Discounts!$B$60)/100)</f>
        <v>15</v>
      </c>
    </row>
    <row r="80" spans="1:14" ht="27" customHeight="1" thickBot="1" x14ac:dyDescent="0.9">
      <c r="A80" s="18">
        <v>6</v>
      </c>
      <c r="B80" s="18" t="s">
        <v>168</v>
      </c>
      <c r="C80" s="18" t="s">
        <v>168</v>
      </c>
      <c r="D80" s="18">
        <v>1.2</v>
      </c>
      <c r="E80" s="18">
        <v>10</v>
      </c>
      <c r="F80" s="20" t="s">
        <v>616</v>
      </c>
      <c r="G80" s="84">
        <v>37.5</v>
      </c>
      <c r="H80" s="84">
        <f>G80*((100-Discounts!$B$60)/100)</f>
        <v>15</v>
      </c>
    </row>
    <row r="81" spans="1:14" s="11" customFormat="1" ht="40.5" customHeight="1" thickTop="1" thickBot="1" x14ac:dyDescent="0.9">
      <c r="A81" s="168" t="s">
        <v>618</v>
      </c>
      <c r="B81" s="68"/>
      <c r="C81" s="68"/>
      <c r="D81" s="69"/>
      <c r="E81" s="68"/>
      <c r="F81" s="155"/>
      <c r="G81" s="171" t="s">
        <v>597</v>
      </c>
      <c r="H81" s="171" t="s">
        <v>323</v>
      </c>
      <c r="J81" s="13"/>
      <c r="N81" s="12"/>
    </row>
    <row r="82" spans="1:14" s="25" customFormat="1" ht="54" customHeight="1" thickTop="1" thickBot="1" x14ac:dyDescent="0.9">
      <c r="A82" s="70" t="s">
        <v>320</v>
      </c>
      <c r="B82" s="70" t="s">
        <v>171</v>
      </c>
      <c r="C82" s="70" t="s">
        <v>325</v>
      </c>
      <c r="D82" s="70" t="s">
        <v>321</v>
      </c>
      <c r="E82" s="70" t="s">
        <v>311</v>
      </c>
      <c r="F82" s="156" t="s">
        <v>322</v>
      </c>
      <c r="G82" s="172" t="s">
        <v>179</v>
      </c>
      <c r="H82" s="173" t="s">
        <v>199</v>
      </c>
      <c r="J82" s="28"/>
      <c r="N82" s="26"/>
    </row>
    <row r="83" spans="1:14" ht="27" customHeight="1" thickTop="1" x14ac:dyDescent="0.85">
      <c r="A83" s="16">
        <v>5</v>
      </c>
      <c r="B83" s="16" t="s">
        <v>168</v>
      </c>
      <c r="C83" s="16" t="s">
        <v>168</v>
      </c>
      <c r="D83" s="16">
        <v>1</v>
      </c>
      <c r="E83" s="16">
        <v>10</v>
      </c>
      <c r="F83" s="19" t="s">
        <v>619</v>
      </c>
      <c r="G83" s="83">
        <v>22.75</v>
      </c>
      <c r="H83" s="83">
        <f>G83*((100-Discounts!$B$61)/100)</f>
        <v>9.1</v>
      </c>
    </row>
    <row r="84" spans="1:14" ht="27" customHeight="1" x14ac:dyDescent="0.85">
      <c r="A84" s="18">
        <v>5</v>
      </c>
      <c r="B84" s="18" t="s">
        <v>168</v>
      </c>
      <c r="C84" s="18" t="s">
        <v>168</v>
      </c>
      <c r="D84" s="18">
        <v>1.2</v>
      </c>
      <c r="E84" s="18">
        <v>10</v>
      </c>
      <c r="F84" s="20" t="s">
        <v>619</v>
      </c>
      <c r="G84" s="84">
        <v>22.75</v>
      </c>
      <c r="H84" s="84">
        <f>G84*((100-Discounts!$B$61)/100)</f>
        <v>9.1</v>
      </c>
    </row>
    <row r="85" spans="1:14" ht="27" customHeight="1" x14ac:dyDescent="0.85">
      <c r="A85" s="16">
        <v>6</v>
      </c>
      <c r="B85" s="16" t="s">
        <v>168</v>
      </c>
      <c r="C85" s="16" t="s">
        <v>168</v>
      </c>
      <c r="D85" s="16">
        <v>1</v>
      </c>
      <c r="E85" s="16">
        <v>10</v>
      </c>
      <c r="F85" s="19" t="s">
        <v>620</v>
      </c>
      <c r="G85" s="83">
        <v>29</v>
      </c>
      <c r="H85" s="83">
        <f>G85*((100-Discounts!$B$61)/100)</f>
        <v>11.600000000000001</v>
      </c>
    </row>
    <row r="86" spans="1:14" ht="27" customHeight="1" thickBot="1" x14ac:dyDescent="0.9">
      <c r="A86" s="18">
        <v>6</v>
      </c>
      <c r="B86" s="18" t="s">
        <v>168</v>
      </c>
      <c r="C86" s="18" t="s">
        <v>168</v>
      </c>
      <c r="D86" s="18">
        <v>1.2</v>
      </c>
      <c r="E86" s="18">
        <v>10</v>
      </c>
      <c r="F86" s="20" t="s">
        <v>620</v>
      </c>
      <c r="G86" s="84">
        <v>29</v>
      </c>
      <c r="H86" s="84">
        <f>G86*((100-Discounts!$B$61)/100)</f>
        <v>11.600000000000001</v>
      </c>
    </row>
    <row r="87" spans="1:14" s="11" customFormat="1" ht="40.5" customHeight="1" thickTop="1" thickBot="1" x14ac:dyDescent="0.9">
      <c r="A87" s="168" t="s">
        <v>621</v>
      </c>
      <c r="B87" s="68"/>
      <c r="C87" s="68"/>
      <c r="D87" s="69"/>
      <c r="E87" s="68"/>
      <c r="F87" s="155"/>
      <c r="G87" s="171" t="s">
        <v>597</v>
      </c>
      <c r="H87" s="171" t="s">
        <v>323</v>
      </c>
      <c r="J87" s="13"/>
      <c r="N87" s="12"/>
    </row>
    <row r="88" spans="1:14" s="25" customFormat="1" ht="54" customHeight="1" thickTop="1" thickBot="1" x14ac:dyDescent="0.9">
      <c r="A88" s="70" t="s">
        <v>320</v>
      </c>
      <c r="B88" s="70" t="s">
        <v>171</v>
      </c>
      <c r="C88" s="70" t="s">
        <v>325</v>
      </c>
      <c r="D88" s="70" t="s">
        <v>321</v>
      </c>
      <c r="E88" s="70" t="s">
        <v>311</v>
      </c>
      <c r="F88" s="156" t="s">
        <v>322</v>
      </c>
      <c r="G88" s="172" t="s">
        <v>179</v>
      </c>
      <c r="H88" s="173" t="s">
        <v>199</v>
      </c>
      <c r="J88" s="28"/>
      <c r="N88" s="26"/>
    </row>
    <row r="89" spans="1:14" ht="27" customHeight="1" thickTop="1" x14ac:dyDescent="0.85">
      <c r="A89" s="15">
        <v>4.5</v>
      </c>
      <c r="B89" s="15" t="s">
        <v>168</v>
      </c>
      <c r="C89" s="15" t="s">
        <v>168</v>
      </c>
      <c r="D89" s="15">
        <v>2</v>
      </c>
      <c r="E89" s="15">
        <v>10</v>
      </c>
      <c r="F89" s="120" t="s">
        <v>622</v>
      </c>
      <c r="G89" s="83">
        <v>34.5</v>
      </c>
      <c r="H89" s="83">
        <f>G89*((100-Discounts!$B$62)/100)</f>
        <v>13.8</v>
      </c>
    </row>
    <row r="90" spans="1:14" ht="27" customHeight="1" x14ac:dyDescent="0.85">
      <c r="A90" s="17">
        <v>6</v>
      </c>
      <c r="B90" s="17" t="s">
        <v>168</v>
      </c>
      <c r="C90" s="17" t="s">
        <v>168</v>
      </c>
      <c r="D90" s="17">
        <v>2</v>
      </c>
      <c r="E90" s="17">
        <v>10</v>
      </c>
      <c r="F90" s="121" t="s">
        <v>623</v>
      </c>
      <c r="G90" s="84">
        <v>45.25</v>
      </c>
      <c r="H90" s="84">
        <f>G90*((100-Discounts!$B$62)/100)</f>
        <v>18.100000000000001</v>
      </c>
    </row>
    <row r="91" spans="1:14" ht="27" customHeight="1" thickBot="1" x14ac:dyDescent="0.9">
      <c r="A91" s="15">
        <v>6</v>
      </c>
      <c r="B91" s="15">
        <v>2</v>
      </c>
      <c r="C91" s="15" t="s">
        <v>178</v>
      </c>
      <c r="D91" s="15">
        <v>1.6</v>
      </c>
      <c r="E91" s="15">
        <v>10</v>
      </c>
      <c r="F91" s="120" t="s">
        <v>624</v>
      </c>
      <c r="G91" s="83">
        <v>57.75</v>
      </c>
      <c r="H91" s="83">
        <f>G91*((100-Discounts!$B$62)/100)</f>
        <v>23.1</v>
      </c>
    </row>
    <row r="92" spans="1:14" ht="40.5" customHeight="1" thickTop="1" thickBot="1" x14ac:dyDescent="0.9">
      <c r="A92" s="168" t="s">
        <v>628</v>
      </c>
      <c r="B92" s="68"/>
      <c r="C92" s="68"/>
      <c r="D92" s="69"/>
      <c r="E92" s="68"/>
      <c r="F92" s="155"/>
      <c r="G92" s="171" t="s">
        <v>597</v>
      </c>
      <c r="H92" s="171" t="s">
        <v>323</v>
      </c>
    </row>
    <row r="93" spans="1:14" ht="54" customHeight="1" thickTop="1" thickBot="1" x14ac:dyDescent="0.9">
      <c r="A93" s="70" t="s">
        <v>320</v>
      </c>
      <c r="B93" s="70" t="s">
        <v>171</v>
      </c>
      <c r="C93" s="70" t="s">
        <v>325</v>
      </c>
      <c r="D93" s="70" t="s">
        <v>321</v>
      </c>
      <c r="E93" s="70" t="s">
        <v>311</v>
      </c>
      <c r="F93" s="156" t="s">
        <v>322</v>
      </c>
      <c r="G93" s="172" t="s">
        <v>179</v>
      </c>
      <c r="H93" s="173" t="s">
        <v>199</v>
      </c>
    </row>
    <row r="94" spans="1:14" ht="27" customHeight="1" thickTop="1" x14ac:dyDescent="0.85">
      <c r="A94" s="16">
        <v>3</v>
      </c>
      <c r="B94" s="16" t="s">
        <v>168</v>
      </c>
      <c r="C94" s="16" t="s">
        <v>168</v>
      </c>
      <c r="D94" s="16">
        <v>1</v>
      </c>
      <c r="E94" s="16">
        <v>10</v>
      </c>
      <c r="F94" s="19" t="s">
        <v>625</v>
      </c>
      <c r="G94" s="83">
        <v>25</v>
      </c>
      <c r="H94" s="83">
        <f>G94*((100-Discounts!$B$63)/100)</f>
        <v>10</v>
      </c>
    </row>
    <row r="95" spans="1:14" ht="27" customHeight="1" x14ac:dyDescent="0.85">
      <c r="A95" s="18">
        <v>3</v>
      </c>
      <c r="B95" s="18" t="s">
        <v>168</v>
      </c>
      <c r="C95" s="18" t="s">
        <v>168</v>
      </c>
      <c r="D95" s="18">
        <v>1.2</v>
      </c>
      <c r="E95" s="18">
        <v>10</v>
      </c>
      <c r="F95" s="20" t="s">
        <v>625</v>
      </c>
      <c r="G95" s="84">
        <v>25</v>
      </c>
      <c r="H95" s="84">
        <f>G95*((100-Discounts!$B$63)/100)</f>
        <v>10</v>
      </c>
    </row>
    <row r="96" spans="1:14" ht="27" customHeight="1" x14ac:dyDescent="0.85">
      <c r="A96" s="16">
        <v>4</v>
      </c>
      <c r="B96" s="16" t="s">
        <v>168</v>
      </c>
      <c r="C96" s="16" t="s">
        <v>168</v>
      </c>
      <c r="D96" s="16">
        <v>1.2</v>
      </c>
      <c r="E96" s="16">
        <v>10</v>
      </c>
      <c r="F96" s="19" t="s">
        <v>626</v>
      </c>
      <c r="G96" s="83">
        <v>35.25</v>
      </c>
      <c r="H96" s="83">
        <f>G96*((100-Discounts!$B$63)/100)</f>
        <v>14.100000000000001</v>
      </c>
    </row>
    <row r="97" spans="1:9" ht="27" customHeight="1" x14ac:dyDescent="0.85">
      <c r="A97" s="18">
        <v>4.5</v>
      </c>
      <c r="B97" s="18" t="s">
        <v>168</v>
      </c>
      <c r="C97" s="18" t="s">
        <v>168</v>
      </c>
      <c r="D97" s="18">
        <v>1</v>
      </c>
      <c r="E97" s="18">
        <v>10</v>
      </c>
      <c r="F97" s="20" t="s">
        <v>627</v>
      </c>
      <c r="G97" s="84">
        <v>36.5</v>
      </c>
      <c r="H97" s="84">
        <f>G97*((100-Discounts!$B$63)/100)</f>
        <v>14.600000000000001</v>
      </c>
    </row>
    <row r="98" spans="1:9" ht="27" customHeight="1" thickBot="1" x14ac:dyDescent="0.9">
      <c r="A98" s="16">
        <v>4.5</v>
      </c>
      <c r="B98" s="16" t="s">
        <v>168</v>
      </c>
      <c r="C98" s="16" t="s">
        <v>168</v>
      </c>
      <c r="D98" s="16">
        <v>1.2</v>
      </c>
      <c r="E98" s="16">
        <v>10</v>
      </c>
      <c r="F98" s="19" t="s">
        <v>627</v>
      </c>
      <c r="G98" s="83">
        <v>36.5</v>
      </c>
      <c r="H98" s="83">
        <f>G98*((100-Discounts!$B$63)/100)</f>
        <v>14.600000000000001</v>
      </c>
    </row>
    <row r="99" spans="1:9" ht="40.5" customHeight="1" thickTop="1" thickBot="1" x14ac:dyDescent="0.9">
      <c r="A99" s="168" t="s">
        <v>629</v>
      </c>
      <c r="B99" s="68"/>
      <c r="C99" s="68"/>
      <c r="D99" s="69"/>
      <c r="E99" s="68"/>
      <c r="F99" s="155"/>
      <c r="G99" s="171" t="s">
        <v>597</v>
      </c>
      <c r="H99" s="174" t="s">
        <v>323</v>
      </c>
      <c r="I99" s="74"/>
    </row>
    <row r="100" spans="1:9" ht="54" customHeight="1" thickTop="1" thickBot="1" x14ac:dyDescent="0.9">
      <c r="A100" s="70" t="s">
        <v>320</v>
      </c>
      <c r="B100" s="70" t="s">
        <v>171</v>
      </c>
      <c r="C100" s="70" t="s">
        <v>325</v>
      </c>
      <c r="D100" s="70" t="s">
        <v>321</v>
      </c>
      <c r="E100" s="70" t="s">
        <v>311</v>
      </c>
      <c r="F100" s="156" t="s">
        <v>322</v>
      </c>
      <c r="G100" s="172" t="s">
        <v>179</v>
      </c>
      <c r="H100" s="173" t="s">
        <v>199</v>
      </c>
      <c r="I100" s="71" t="s">
        <v>568</v>
      </c>
    </row>
    <row r="101" spans="1:9" ht="27" customHeight="1" thickTop="1" x14ac:dyDescent="0.85">
      <c r="A101" s="16">
        <v>3</v>
      </c>
      <c r="B101" s="16" t="s">
        <v>168</v>
      </c>
      <c r="C101" s="16" t="s">
        <v>168</v>
      </c>
      <c r="D101" s="16">
        <v>1.2</v>
      </c>
      <c r="E101" s="16">
        <v>10</v>
      </c>
      <c r="F101" s="19" t="s">
        <v>630</v>
      </c>
      <c r="G101" s="83">
        <v>42</v>
      </c>
      <c r="H101" s="83">
        <f>G101*((100-Discounts!$B$63)/100)</f>
        <v>16.8</v>
      </c>
      <c r="I101" s="16" t="s">
        <v>631</v>
      </c>
    </row>
    <row r="102" spans="1:9" ht="27" customHeight="1" x14ac:dyDescent="0.85">
      <c r="A102" s="18">
        <v>3</v>
      </c>
      <c r="B102" s="18" t="s">
        <v>168</v>
      </c>
      <c r="C102" s="18" t="s">
        <v>168</v>
      </c>
      <c r="D102" s="18">
        <v>1.2</v>
      </c>
      <c r="E102" s="18">
        <v>10</v>
      </c>
      <c r="F102" s="20" t="s">
        <v>632</v>
      </c>
      <c r="G102" s="84">
        <v>42</v>
      </c>
      <c r="H102" s="84">
        <f>G102*((100-Discounts!$B$64)/100)</f>
        <v>16.8</v>
      </c>
      <c r="I102" s="18" t="s">
        <v>633</v>
      </c>
    </row>
    <row r="103" spans="1:9" ht="27" customHeight="1" x14ac:dyDescent="0.85">
      <c r="A103" s="16">
        <v>3</v>
      </c>
      <c r="B103" s="16" t="s">
        <v>168</v>
      </c>
      <c r="C103" s="16" t="s">
        <v>168</v>
      </c>
      <c r="D103" s="16">
        <v>1.2</v>
      </c>
      <c r="E103" s="16">
        <v>10</v>
      </c>
      <c r="F103" s="19" t="s">
        <v>634</v>
      </c>
      <c r="G103" s="83">
        <v>42</v>
      </c>
      <c r="H103" s="83">
        <f>G103*((100-Discounts!$B$64)/100)</f>
        <v>16.8</v>
      </c>
      <c r="I103" s="16" t="s">
        <v>635</v>
      </c>
    </row>
    <row r="104" spans="1:9" ht="27" customHeight="1" x14ac:dyDescent="0.85">
      <c r="A104" s="18">
        <v>3</v>
      </c>
      <c r="B104" s="18" t="s">
        <v>168</v>
      </c>
      <c r="C104" s="18" t="s">
        <v>168</v>
      </c>
      <c r="D104" s="18">
        <v>1.2</v>
      </c>
      <c r="E104" s="18">
        <v>10</v>
      </c>
      <c r="F104" s="20" t="s">
        <v>636</v>
      </c>
      <c r="G104" s="84">
        <v>36</v>
      </c>
      <c r="H104" s="84">
        <f>G104*((100-Discounts!$B$64)/100)</f>
        <v>14.4</v>
      </c>
      <c r="I104" s="18" t="s">
        <v>572</v>
      </c>
    </row>
    <row r="105" spans="1:9" ht="27" customHeight="1" x14ac:dyDescent="0.85">
      <c r="A105" s="16">
        <v>3</v>
      </c>
      <c r="B105" s="16" t="s">
        <v>168</v>
      </c>
      <c r="C105" s="16" t="s">
        <v>168</v>
      </c>
      <c r="D105" s="16">
        <v>1.2</v>
      </c>
      <c r="E105" s="16">
        <v>10</v>
      </c>
      <c r="F105" s="19" t="s">
        <v>638</v>
      </c>
      <c r="G105" s="83">
        <v>42</v>
      </c>
      <c r="H105" s="83">
        <f>G105*((100-Discounts!$B$64)/100)</f>
        <v>16.8</v>
      </c>
      <c r="I105" s="16" t="s">
        <v>637</v>
      </c>
    </row>
    <row r="106" spans="1:9" ht="27" customHeight="1" thickBot="1" x14ac:dyDescent="0.9">
      <c r="A106" s="18">
        <v>3</v>
      </c>
      <c r="B106" s="18" t="s">
        <v>168</v>
      </c>
      <c r="C106" s="18" t="s">
        <v>168</v>
      </c>
      <c r="D106" s="18">
        <v>1.2</v>
      </c>
      <c r="E106" s="18">
        <v>10</v>
      </c>
      <c r="F106" s="20" t="s">
        <v>640</v>
      </c>
      <c r="G106" s="84">
        <v>42</v>
      </c>
      <c r="H106" s="84">
        <f>G106*((100-Discounts!$B$64)/100)</f>
        <v>16.8</v>
      </c>
      <c r="I106" s="18" t="s">
        <v>639</v>
      </c>
    </row>
    <row r="107" spans="1:9" ht="40.5" customHeight="1" thickTop="1" thickBot="1" x14ac:dyDescent="0.9">
      <c r="A107" s="168" t="s">
        <v>641</v>
      </c>
      <c r="B107" s="68"/>
      <c r="C107" s="68"/>
      <c r="D107" s="69"/>
      <c r="E107" s="68"/>
      <c r="F107" s="155"/>
      <c r="G107" s="171" t="s">
        <v>597</v>
      </c>
      <c r="H107" s="171" t="s">
        <v>323</v>
      </c>
    </row>
    <row r="108" spans="1:9" ht="54" customHeight="1" thickTop="1" thickBot="1" x14ac:dyDescent="0.9">
      <c r="A108" s="70" t="s">
        <v>320</v>
      </c>
      <c r="B108" s="70" t="s">
        <v>171</v>
      </c>
      <c r="C108" s="70" t="s">
        <v>325</v>
      </c>
      <c r="D108" s="70" t="s">
        <v>321</v>
      </c>
      <c r="E108" s="70" t="s">
        <v>311</v>
      </c>
      <c r="F108" s="156" t="s">
        <v>322</v>
      </c>
      <c r="G108" s="172" t="s">
        <v>179</v>
      </c>
      <c r="H108" s="173" t="s">
        <v>199</v>
      </c>
    </row>
    <row r="109" spans="1:9" ht="27" customHeight="1" thickTop="1" x14ac:dyDescent="0.85">
      <c r="A109" s="16">
        <v>3</v>
      </c>
      <c r="B109" s="16" t="s">
        <v>168</v>
      </c>
      <c r="C109" s="16" t="s">
        <v>168</v>
      </c>
      <c r="D109" s="16">
        <v>1</v>
      </c>
      <c r="E109" s="16">
        <v>10</v>
      </c>
      <c r="F109" s="19" t="s">
        <v>642</v>
      </c>
      <c r="G109" s="83">
        <v>19</v>
      </c>
      <c r="H109" s="83">
        <f>G109*((100-Discounts!$B$64)/100)</f>
        <v>7.6000000000000005</v>
      </c>
    </row>
    <row r="110" spans="1:9" ht="27" customHeight="1" x14ac:dyDescent="0.85">
      <c r="A110" s="18">
        <v>3</v>
      </c>
      <c r="B110" s="18" t="s">
        <v>168</v>
      </c>
      <c r="C110" s="18" t="s">
        <v>168</v>
      </c>
      <c r="D110" s="18">
        <v>1.2</v>
      </c>
      <c r="E110" s="18">
        <v>10</v>
      </c>
      <c r="F110" s="20" t="s">
        <v>642</v>
      </c>
      <c r="G110" s="84">
        <v>19</v>
      </c>
      <c r="H110" s="84">
        <f>G110*((100-Discounts!$B$64)/100)</f>
        <v>7.6000000000000005</v>
      </c>
    </row>
    <row r="111" spans="1:9" ht="27" customHeight="1" x14ac:dyDescent="0.85">
      <c r="A111" s="16">
        <v>3</v>
      </c>
      <c r="B111" s="16" t="s">
        <v>168</v>
      </c>
      <c r="C111" s="16" t="s">
        <v>168</v>
      </c>
      <c r="D111" s="16">
        <v>1.4</v>
      </c>
      <c r="E111" s="16">
        <v>10</v>
      </c>
      <c r="F111" s="19" t="s">
        <v>642</v>
      </c>
      <c r="G111" s="83">
        <v>19</v>
      </c>
      <c r="H111" s="83">
        <f>G111*((100-Discounts!$B$64)/100)</f>
        <v>7.6000000000000005</v>
      </c>
    </row>
    <row r="112" spans="1:9" ht="27" customHeight="1" thickBot="1" x14ac:dyDescent="0.9">
      <c r="A112" s="18">
        <v>3</v>
      </c>
      <c r="B112" s="18" t="s">
        <v>168</v>
      </c>
      <c r="C112" s="18" t="s">
        <v>168</v>
      </c>
      <c r="D112" s="18">
        <v>1.5</v>
      </c>
      <c r="E112" s="18">
        <v>10</v>
      </c>
      <c r="F112" s="20" t="s">
        <v>642</v>
      </c>
      <c r="G112" s="84">
        <v>19</v>
      </c>
      <c r="H112" s="84">
        <f>G112*((100-Discounts!$B$64)/100)</f>
        <v>7.6000000000000005</v>
      </c>
    </row>
    <row r="113" spans="1:14" ht="40.5" customHeight="1" thickTop="1" thickBot="1" x14ac:dyDescent="0.9">
      <c r="A113" s="168" t="s">
        <v>643</v>
      </c>
      <c r="B113" s="68"/>
      <c r="C113" s="68"/>
      <c r="D113" s="69"/>
      <c r="E113" s="68"/>
      <c r="F113" s="155"/>
      <c r="G113" s="171" t="s">
        <v>597</v>
      </c>
      <c r="H113" s="171" t="s">
        <v>323</v>
      </c>
    </row>
    <row r="114" spans="1:14" ht="54" customHeight="1" thickTop="1" thickBot="1" x14ac:dyDescent="0.9">
      <c r="A114" s="70" t="s">
        <v>320</v>
      </c>
      <c r="B114" s="70" t="s">
        <v>171</v>
      </c>
      <c r="C114" s="70" t="s">
        <v>325</v>
      </c>
      <c r="D114" s="70" t="s">
        <v>321</v>
      </c>
      <c r="E114" s="70" t="s">
        <v>311</v>
      </c>
      <c r="F114" s="156" t="s">
        <v>322</v>
      </c>
      <c r="G114" s="172" t="s">
        <v>179</v>
      </c>
      <c r="H114" s="173" t="s">
        <v>199</v>
      </c>
    </row>
    <row r="115" spans="1:14" ht="27" customHeight="1" thickTop="1" x14ac:dyDescent="0.85">
      <c r="A115" s="16">
        <v>3</v>
      </c>
      <c r="B115" s="16" t="s">
        <v>168</v>
      </c>
      <c r="C115" s="16" t="s">
        <v>168</v>
      </c>
      <c r="D115" s="16">
        <v>1</v>
      </c>
      <c r="E115" s="16">
        <v>10</v>
      </c>
      <c r="F115" s="19" t="s">
        <v>644</v>
      </c>
      <c r="G115" s="83">
        <v>23.25</v>
      </c>
      <c r="H115" s="83">
        <f>G115*((100-Discounts!$B$65)/100)</f>
        <v>9.3000000000000007</v>
      </c>
    </row>
    <row r="116" spans="1:14" ht="27" customHeight="1" x14ac:dyDescent="0.85">
      <c r="A116" s="18">
        <v>3</v>
      </c>
      <c r="B116" s="18" t="s">
        <v>168</v>
      </c>
      <c r="C116" s="18" t="s">
        <v>168</v>
      </c>
      <c r="D116" s="18">
        <v>1.2</v>
      </c>
      <c r="E116" s="18">
        <v>10</v>
      </c>
      <c r="F116" s="20" t="s">
        <v>644</v>
      </c>
      <c r="G116" s="84">
        <v>23.25</v>
      </c>
      <c r="H116" s="84">
        <f>G116*((100-Discounts!$B$65)/100)</f>
        <v>9.3000000000000007</v>
      </c>
    </row>
    <row r="117" spans="1:14" ht="27" customHeight="1" x14ac:dyDescent="0.85">
      <c r="A117" s="16">
        <v>3</v>
      </c>
      <c r="B117" s="16" t="s">
        <v>168</v>
      </c>
      <c r="C117" s="16" t="s">
        <v>168</v>
      </c>
      <c r="D117" s="16">
        <v>1.4</v>
      </c>
      <c r="E117" s="16">
        <v>10</v>
      </c>
      <c r="F117" s="19" t="s">
        <v>644</v>
      </c>
      <c r="G117" s="83">
        <v>23.25</v>
      </c>
      <c r="H117" s="83">
        <f>G117*((100-Discounts!$B$65)/100)</f>
        <v>9.3000000000000007</v>
      </c>
    </row>
    <row r="118" spans="1:14" ht="27" customHeight="1" x14ac:dyDescent="0.85">
      <c r="A118" s="18">
        <v>3</v>
      </c>
      <c r="B118" s="18">
        <v>1</v>
      </c>
      <c r="C118" s="18" t="s">
        <v>172</v>
      </c>
      <c r="D118" s="18">
        <v>1.4</v>
      </c>
      <c r="E118" s="18">
        <v>10</v>
      </c>
      <c r="F118" s="20" t="s">
        <v>645</v>
      </c>
      <c r="G118" s="84">
        <v>28.75</v>
      </c>
      <c r="H118" s="84">
        <f>G118*((100-Discounts!$B$65)/100)</f>
        <v>11.5</v>
      </c>
    </row>
    <row r="119" spans="1:14" ht="27" customHeight="1" x14ac:dyDescent="0.85">
      <c r="A119" s="16">
        <v>3</v>
      </c>
      <c r="B119" s="16" t="s">
        <v>168</v>
      </c>
      <c r="C119" s="16" t="s">
        <v>168</v>
      </c>
      <c r="D119" s="16">
        <v>1.5</v>
      </c>
      <c r="E119" s="16">
        <v>10</v>
      </c>
      <c r="F119" s="19" t="s">
        <v>644</v>
      </c>
      <c r="G119" s="83">
        <v>23.25</v>
      </c>
      <c r="H119" s="83">
        <f>G119*((100-Discounts!$B$65)/100)</f>
        <v>9.3000000000000007</v>
      </c>
    </row>
    <row r="120" spans="1:14" ht="27" customHeight="1" x14ac:dyDescent="0.85">
      <c r="A120" s="18">
        <v>3</v>
      </c>
      <c r="B120" s="18" t="s">
        <v>168</v>
      </c>
      <c r="C120" s="18" t="s">
        <v>168</v>
      </c>
      <c r="D120" s="18">
        <v>1.6</v>
      </c>
      <c r="E120" s="18">
        <v>10</v>
      </c>
      <c r="F120" s="20" t="s">
        <v>644</v>
      </c>
      <c r="G120" s="84">
        <v>23.25</v>
      </c>
      <c r="H120" s="84">
        <f>G120*((100-Discounts!$B$65)/100)</f>
        <v>9.3000000000000007</v>
      </c>
    </row>
    <row r="121" spans="1:14" ht="27" customHeight="1" thickBot="1" x14ac:dyDescent="0.9">
      <c r="A121" s="16">
        <v>5</v>
      </c>
      <c r="B121" s="16" t="s">
        <v>168</v>
      </c>
      <c r="C121" s="16" t="s">
        <v>168</v>
      </c>
      <c r="D121" s="16">
        <v>1.4</v>
      </c>
      <c r="E121" s="16">
        <v>10</v>
      </c>
      <c r="F121" s="19" t="s">
        <v>644</v>
      </c>
      <c r="G121" s="83">
        <v>23.25</v>
      </c>
      <c r="H121" s="83">
        <f>G121*((100-Discounts!$B$65)/100)</f>
        <v>9.3000000000000007</v>
      </c>
    </row>
    <row r="122" spans="1:14" ht="40.5" customHeight="1" thickTop="1" thickBot="1" x14ac:dyDescent="0.9">
      <c r="A122" s="168" t="s">
        <v>646</v>
      </c>
      <c r="B122" s="68"/>
      <c r="C122" s="68"/>
      <c r="D122" s="69"/>
      <c r="E122" s="68"/>
      <c r="F122" s="155"/>
      <c r="G122" s="171" t="s">
        <v>597</v>
      </c>
      <c r="H122" s="174" t="s">
        <v>323</v>
      </c>
      <c r="I122" s="74"/>
    </row>
    <row r="123" spans="1:14" ht="54" customHeight="1" thickTop="1" thickBot="1" x14ac:dyDescent="0.9">
      <c r="A123" s="70" t="s">
        <v>320</v>
      </c>
      <c r="B123" s="70" t="s">
        <v>171</v>
      </c>
      <c r="C123" s="70" t="s">
        <v>325</v>
      </c>
      <c r="D123" s="70" t="s">
        <v>321</v>
      </c>
      <c r="E123" s="70" t="s">
        <v>311</v>
      </c>
      <c r="F123" s="156" t="s">
        <v>322</v>
      </c>
      <c r="G123" s="172" t="s">
        <v>179</v>
      </c>
      <c r="H123" s="173" t="s">
        <v>199</v>
      </c>
      <c r="I123" s="71" t="s">
        <v>568</v>
      </c>
    </row>
    <row r="124" spans="1:14" ht="27" customHeight="1" thickTop="1" x14ac:dyDescent="0.85">
      <c r="A124" s="16">
        <v>3</v>
      </c>
      <c r="B124" s="16" t="s">
        <v>168</v>
      </c>
      <c r="C124" s="16" t="s">
        <v>168</v>
      </c>
      <c r="D124" s="16">
        <v>1.4</v>
      </c>
      <c r="E124" s="16">
        <v>10</v>
      </c>
      <c r="F124" s="19" t="s">
        <v>649</v>
      </c>
      <c r="G124" s="83">
        <v>34.25</v>
      </c>
      <c r="H124" s="83">
        <f>G124*((100-Discounts!$B$65)/100)</f>
        <v>13.700000000000001</v>
      </c>
      <c r="I124" s="16" t="s">
        <v>572</v>
      </c>
    </row>
    <row r="125" spans="1:14" ht="27" customHeight="1" x14ac:dyDescent="0.85">
      <c r="A125" s="18">
        <v>3</v>
      </c>
      <c r="B125" s="18" t="s">
        <v>168</v>
      </c>
      <c r="C125" s="18" t="s">
        <v>168</v>
      </c>
      <c r="D125" s="18">
        <v>1.5</v>
      </c>
      <c r="E125" s="18">
        <v>10</v>
      </c>
      <c r="F125" s="20" t="s">
        <v>647</v>
      </c>
      <c r="G125" s="84">
        <v>37</v>
      </c>
      <c r="H125" s="84">
        <f>G125*((100-Discounts!$B$65)/100)</f>
        <v>14.8</v>
      </c>
      <c r="I125" s="18" t="s">
        <v>648</v>
      </c>
    </row>
    <row r="126" spans="1:14" ht="27" customHeight="1" thickBot="1" x14ac:dyDescent="0.9">
      <c r="A126" s="16">
        <v>3</v>
      </c>
      <c r="B126" s="16" t="s">
        <v>168</v>
      </c>
      <c r="C126" s="16" t="s">
        <v>168</v>
      </c>
      <c r="D126" s="16">
        <v>1.5</v>
      </c>
      <c r="E126" s="16">
        <v>10</v>
      </c>
      <c r="F126" s="19" t="s">
        <v>650</v>
      </c>
      <c r="G126" s="83">
        <v>37</v>
      </c>
      <c r="H126" s="83">
        <f>G126*((100-Discounts!$B$65)/100)</f>
        <v>14.8</v>
      </c>
      <c r="I126" s="16" t="s">
        <v>639</v>
      </c>
    </row>
    <row r="127" spans="1:14" ht="40.5" customHeight="1" thickTop="1" thickBot="1" x14ac:dyDescent="0.9">
      <c r="A127" s="168" t="s">
        <v>658</v>
      </c>
      <c r="B127" s="68"/>
      <c r="C127" s="68"/>
      <c r="D127" s="69"/>
      <c r="E127" s="68"/>
      <c r="F127" s="155"/>
      <c r="G127" s="171" t="s">
        <v>597</v>
      </c>
      <c r="H127" s="171" t="s">
        <v>323</v>
      </c>
    </row>
    <row r="128" spans="1:14" s="25" customFormat="1" ht="54" customHeight="1" thickTop="1" thickBot="1" x14ac:dyDescent="0.9">
      <c r="A128" s="70" t="s">
        <v>320</v>
      </c>
      <c r="B128" s="70" t="s">
        <v>171</v>
      </c>
      <c r="C128" s="70" t="s">
        <v>325</v>
      </c>
      <c r="D128" s="70" t="s">
        <v>321</v>
      </c>
      <c r="E128" s="70" t="s">
        <v>311</v>
      </c>
      <c r="F128" s="156" t="s">
        <v>322</v>
      </c>
      <c r="G128" s="172" t="s">
        <v>701</v>
      </c>
      <c r="H128" s="173" t="s">
        <v>700</v>
      </c>
      <c r="J128" s="28"/>
      <c r="N128" s="26"/>
    </row>
    <row r="129" spans="1:8" ht="27" customHeight="1" thickTop="1" x14ac:dyDescent="0.85">
      <c r="A129" s="16">
        <v>3</v>
      </c>
      <c r="B129" s="16" t="s">
        <v>168</v>
      </c>
      <c r="C129" s="16" t="s">
        <v>168</v>
      </c>
      <c r="D129" s="16">
        <v>0.4</v>
      </c>
      <c r="E129" s="16">
        <v>10</v>
      </c>
      <c r="F129" s="19" t="s">
        <v>652</v>
      </c>
      <c r="G129" s="83">
        <v>7</v>
      </c>
      <c r="H129" s="83">
        <f>G129*((100-Discounts!$B$66)/100)</f>
        <v>2.8000000000000003</v>
      </c>
    </row>
    <row r="130" spans="1:8" ht="27" customHeight="1" x14ac:dyDescent="0.85">
      <c r="A130" s="18">
        <v>3</v>
      </c>
      <c r="B130" s="18" t="s">
        <v>168</v>
      </c>
      <c r="C130" s="18" t="s">
        <v>168</v>
      </c>
      <c r="D130" s="18">
        <v>0.5</v>
      </c>
      <c r="E130" s="18">
        <v>10</v>
      </c>
      <c r="F130" s="20" t="s">
        <v>653</v>
      </c>
      <c r="G130" s="84">
        <v>8.75</v>
      </c>
      <c r="H130" s="84">
        <f>G130*((100-Discounts!$B$66)/100)</f>
        <v>3.5</v>
      </c>
    </row>
    <row r="131" spans="1:8" ht="27" customHeight="1" x14ac:dyDescent="0.85">
      <c r="A131" s="16">
        <v>3</v>
      </c>
      <c r="B131" s="16" t="s">
        <v>168</v>
      </c>
      <c r="C131" s="16" t="s">
        <v>168</v>
      </c>
      <c r="D131" s="16">
        <v>0.6</v>
      </c>
      <c r="E131" s="16">
        <v>10</v>
      </c>
      <c r="F131" s="19" t="s">
        <v>654</v>
      </c>
      <c r="G131" s="83">
        <v>10.5</v>
      </c>
      <c r="H131" s="83">
        <f>G131*((100-Discounts!$B$66)/100)</f>
        <v>4.2</v>
      </c>
    </row>
    <row r="132" spans="1:8" ht="27" customHeight="1" x14ac:dyDescent="0.85">
      <c r="A132" s="18">
        <v>3</v>
      </c>
      <c r="B132" s="18" t="s">
        <v>168</v>
      </c>
      <c r="C132" s="18" t="s">
        <v>168</v>
      </c>
      <c r="D132" s="18">
        <v>0.7</v>
      </c>
      <c r="E132" s="18">
        <v>10</v>
      </c>
      <c r="F132" s="20" t="s">
        <v>655</v>
      </c>
      <c r="G132" s="84">
        <v>12.25</v>
      </c>
      <c r="H132" s="84">
        <f>G132*((100-Discounts!$B$66)/100)</f>
        <v>4.9000000000000004</v>
      </c>
    </row>
    <row r="133" spans="1:8" ht="27" customHeight="1" thickBot="1" x14ac:dyDescent="0.9">
      <c r="A133" s="16">
        <v>3</v>
      </c>
      <c r="B133" s="16" t="s">
        <v>168</v>
      </c>
      <c r="C133" s="16" t="s">
        <v>168</v>
      </c>
      <c r="D133" s="16">
        <v>0.8</v>
      </c>
      <c r="E133" s="16">
        <v>10</v>
      </c>
      <c r="F133" s="19" t="s">
        <v>656</v>
      </c>
      <c r="G133" s="83">
        <v>14</v>
      </c>
      <c r="H133" s="83">
        <f>G133*((100-Discounts!$B$66)/100)</f>
        <v>5.6000000000000005</v>
      </c>
    </row>
    <row r="134" spans="1:8" ht="40.5" customHeight="1" thickTop="1" thickBot="1" x14ac:dyDescent="0.9">
      <c r="A134" s="168" t="s">
        <v>658</v>
      </c>
      <c r="B134" s="68"/>
      <c r="C134" s="68"/>
      <c r="D134" s="69"/>
      <c r="E134" s="68"/>
      <c r="F134" s="155"/>
      <c r="G134" s="171" t="s">
        <v>597</v>
      </c>
      <c r="H134" s="171" t="s">
        <v>323</v>
      </c>
    </row>
    <row r="135" spans="1:8" ht="54" customHeight="1" thickTop="1" thickBot="1" x14ac:dyDescent="0.9">
      <c r="A135" s="70" t="s">
        <v>320</v>
      </c>
      <c r="B135" s="70" t="s">
        <v>171</v>
      </c>
      <c r="C135" s="70" t="s">
        <v>325</v>
      </c>
      <c r="D135" s="70" t="s">
        <v>321</v>
      </c>
      <c r="E135" s="70" t="s">
        <v>311</v>
      </c>
      <c r="F135" s="156" t="s">
        <v>322</v>
      </c>
      <c r="G135" s="172" t="s">
        <v>179</v>
      </c>
      <c r="H135" s="173" t="s">
        <v>199</v>
      </c>
    </row>
    <row r="136" spans="1:8" ht="27" customHeight="1" thickTop="1" x14ac:dyDescent="0.85">
      <c r="A136" s="16">
        <v>3</v>
      </c>
      <c r="B136" s="16" t="s">
        <v>168</v>
      </c>
      <c r="C136" s="16" t="s">
        <v>168</v>
      </c>
      <c r="D136" s="16">
        <v>1</v>
      </c>
      <c r="E136" s="16">
        <v>10</v>
      </c>
      <c r="F136" s="19" t="s">
        <v>651</v>
      </c>
      <c r="G136" s="83">
        <v>16.75</v>
      </c>
      <c r="H136" s="83">
        <f>G136*((100-Discounts!$B$66)/100)</f>
        <v>6.7</v>
      </c>
    </row>
    <row r="137" spans="1:8" ht="27" customHeight="1" x14ac:dyDescent="0.85">
      <c r="A137" s="18">
        <v>3</v>
      </c>
      <c r="B137" s="18" t="s">
        <v>168</v>
      </c>
      <c r="C137" s="18" t="s">
        <v>168</v>
      </c>
      <c r="D137" s="18">
        <v>1.2</v>
      </c>
      <c r="E137" s="18">
        <v>10</v>
      </c>
      <c r="F137" s="20" t="s">
        <v>651</v>
      </c>
      <c r="G137" s="84">
        <v>16.75</v>
      </c>
      <c r="H137" s="84">
        <f>G137*((100-Discounts!$B$66)/100)</f>
        <v>6.7</v>
      </c>
    </row>
    <row r="138" spans="1:8" ht="27" customHeight="1" x14ac:dyDescent="0.85">
      <c r="A138" s="16">
        <v>3</v>
      </c>
      <c r="B138" s="16" t="s">
        <v>168</v>
      </c>
      <c r="C138" s="16" t="s">
        <v>168</v>
      </c>
      <c r="D138" s="16">
        <v>1.4</v>
      </c>
      <c r="E138" s="16">
        <v>10</v>
      </c>
      <c r="F138" s="19" t="s">
        <v>651</v>
      </c>
      <c r="G138" s="83">
        <v>16.75</v>
      </c>
      <c r="H138" s="83">
        <f>G138*((100-Discounts!$B$66)/100)</f>
        <v>6.7</v>
      </c>
    </row>
    <row r="139" spans="1:8" ht="27" customHeight="1" x14ac:dyDescent="0.85">
      <c r="A139" s="18">
        <v>3</v>
      </c>
      <c r="B139" s="18" t="s">
        <v>168</v>
      </c>
      <c r="C139" s="18" t="s">
        <v>168</v>
      </c>
      <c r="D139" s="18">
        <v>1.5</v>
      </c>
      <c r="E139" s="18">
        <v>10</v>
      </c>
      <c r="F139" s="20" t="s">
        <v>651</v>
      </c>
      <c r="G139" s="84">
        <v>16.75</v>
      </c>
      <c r="H139" s="84">
        <f>G139*((100-Discounts!$B$66)/100)</f>
        <v>6.7</v>
      </c>
    </row>
    <row r="140" spans="1:8" ht="27" customHeight="1" x14ac:dyDescent="0.85">
      <c r="A140" s="16">
        <v>3</v>
      </c>
      <c r="B140" s="16" t="s">
        <v>168</v>
      </c>
      <c r="C140" s="16" t="s">
        <v>168</v>
      </c>
      <c r="D140" s="16">
        <v>1.6</v>
      </c>
      <c r="E140" s="16">
        <v>10</v>
      </c>
      <c r="F140" s="19" t="s">
        <v>651</v>
      </c>
      <c r="G140" s="83">
        <v>16.75</v>
      </c>
      <c r="H140" s="83">
        <f>G140*((100-Discounts!$B$66)/100)</f>
        <v>6.7</v>
      </c>
    </row>
    <row r="141" spans="1:8" ht="27" customHeight="1" thickBot="1" x14ac:dyDescent="0.9">
      <c r="A141" s="18">
        <v>5</v>
      </c>
      <c r="B141" s="18" t="s">
        <v>168</v>
      </c>
      <c r="C141" s="18" t="s">
        <v>168</v>
      </c>
      <c r="D141" s="18">
        <v>1.4</v>
      </c>
      <c r="E141" s="18">
        <v>10</v>
      </c>
      <c r="F141" s="20" t="s">
        <v>657</v>
      </c>
      <c r="G141" s="84">
        <v>19.5</v>
      </c>
      <c r="H141" s="84">
        <f>G141*((100-Discounts!$B$66)/100)</f>
        <v>7.8000000000000007</v>
      </c>
    </row>
    <row r="142" spans="1:8" ht="40.5" customHeight="1" thickTop="1" thickBot="1" x14ac:dyDescent="0.9">
      <c r="A142" s="168" t="s">
        <v>660</v>
      </c>
      <c r="B142" s="68"/>
      <c r="C142" s="68"/>
      <c r="D142" s="69"/>
      <c r="E142" s="68"/>
      <c r="F142" s="155"/>
      <c r="G142" s="171" t="s">
        <v>597</v>
      </c>
      <c r="H142" s="171" t="s">
        <v>323</v>
      </c>
    </row>
    <row r="143" spans="1:8" ht="54" customHeight="1" thickTop="1" thickBot="1" x14ac:dyDescent="0.9">
      <c r="A143" s="70" t="s">
        <v>320</v>
      </c>
      <c r="B143" s="70" t="s">
        <v>171</v>
      </c>
      <c r="C143" s="70" t="s">
        <v>325</v>
      </c>
      <c r="D143" s="70" t="s">
        <v>321</v>
      </c>
      <c r="E143" s="70" t="s">
        <v>311</v>
      </c>
      <c r="F143" s="156" t="s">
        <v>322</v>
      </c>
      <c r="G143" s="172" t="s">
        <v>179</v>
      </c>
      <c r="H143" s="173" t="s">
        <v>199</v>
      </c>
    </row>
    <row r="144" spans="1:8" ht="27" customHeight="1" thickTop="1" x14ac:dyDescent="0.85">
      <c r="A144" s="16">
        <v>3</v>
      </c>
      <c r="B144" s="16" t="s">
        <v>168</v>
      </c>
      <c r="C144" s="16" t="s">
        <v>168</v>
      </c>
      <c r="D144" s="16">
        <v>1.4</v>
      </c>
      <c r="E144" s="16">
        <v>10</v>
      </c>
      <c r="F144" s="19" t="s">
        <v>659</v>
      </c>
      <c r="G144" s="83">
        <v>34.25</v>
      </c>
      <c r="H144" s="83">
        <f>G144*((100-Discounts!$B$67)/100)</f>
        <v>13.700000000000001</v>
      </c>
    </row>
    <row r="145" spans="1:14" ht="27" customHeight="1" thickBot="1" x14ac:dyDescent="0.9">
      <c r="A145" s="18">
        <v>5</v>
      </c>
      <c r="B145" s="18"/>
      <c r="C145" s="18"/>
      <c r="D145" s="18">
        <v>1.4</v>
      </c>
      <c r="E145" s="18">
        <v>10</v>
      </c>
      <c r="F145" s="20" t="s">
        <v>705</v>
      </c>
      <c r="G145" s="84">
        <v>60.75</v>
      </c>
      <c r="H145" s="84">
        <f>G145*((100-Discounts!$B$67)/100)</f>
        <v>24.3</v>
      </c>
    </row>
    <row r="146" spans="1:14" ht="40.5" customHeight="1" thickTop="1" thickBot="1" x14ac:dyDescent="0.9">
      <c r="A146" s="168" t="s">
        <v>180</v>
      </c>
      <c r="B146" s="68"/>
      <c r="C146" s="68"/>
      <c r="D146" s="69"/>
      <c r="E146" s="68"/>
      <c r="F146" s="155"/>
      <c r="G146" s="171" t="s">
        <v>597</v>
      </c>
      <c r="H146" s="171" t="s">
        <v>323</v>
      </c>
    </row>
    <row r="147" spans="1:14" ht="54" customHeight="1" thickTop="1" thickBot="1" x14ac:dyDescent="0.9">
      <c r="A147" s="70" t="s">
        <v>320</v>
      </c>
      <c r="B147" s="70" t="s">
        <v>171</v>
      </c>
      <c r="C147" s="70" t="s">
        <v>325</v>
      </c>
      <c r="D147" s="70" t="s">
        <v>321</v>
      </c>
      <c r="E147" s="70" t="s">
        <v>311</v>
      </c>
      <c r="F147" s="156" t="s">
        <v>322</v>
      </c>
      <c r="G147" s="172" t="s">
        <v>179</v>
      </c>
      <c r="H147" s="173" t="s">
        <v>199</v>
      </c>
    </row>
    <row r="148" spans="1:14" ht="27" customHeight="1" thickTop="1" x14ac:dyDescent="0.85">
      <c r="A148" s="16">
        <v>3</v>
      </c>
      <c r="B148" s="16" t="s">
        <v>168</v>
      </c>
      <c r="C148" s="16" t="s">
        <v>168</v>
      </c>
      <c r="D148" s="16">
        <v>1.5</v>
      </c>
      <c r="E148" s="16">
        <v>10</v>
      </c>
      <c r="F148" s="19" t="s">
        <v>661</v>
      </c>
      <c r="G148" s="83">
        <v>18.5</v>
      </c>
      <c r="H148" s="83">
        <f>G148*((100-Discounts!$B$68)/100)</f>
        <v>7.4</v>
      </c>
    </row>
    <row r="149" spans="1:14" ht="27" customHeight="1" x14ac:dyDescent="0.85">
      <c r="A149" s="18">
        <v>3</v>
      </c>
      <c r="B149" s="18" t="s">
        <v>168</v>
      </c>
      <c r="C149" s="18" t="s">
        <v>168</v>
      </c>
      <c r="D149" s="18">
        <v>1.8</v>
      </c>
      <c r="E149" s="18">
        <v>10</v>
      </c>
      <c r="F149" s="20" t="s">
        <v>661</v>
      </c>
      <c r="G149" s="84">
        <v>18.5</v>
      </c>
      <c r="H149" s="84">
        <f>G149*((100-Discounts!$B$68)/100)</f>
        <v>7.4</v>
      </c>
    </row>
    <row r="150" spans="1:14" ht="27" customHeight="1" x14ac:dyDescent="0.85">
      <c r="A150" s="16">
        <v>3</v>
      </c>
      <c r="B150" s="16" t="s">
        <v>168</v>
      </c>
      <c r="C150" s="16" t="s">
        <v>168</v>
      </c>
      <c r="D150" s="16">
        <v>2</v>
      </c>
      <c r="E150" s="16">
        <v>10</v>
      </c>
      <c r="F150" s="19" t="s">
        <v>661</v>
      </c>
      <c r="G150" s="83">
        <v>18.5</v>
      </c>
      <c r="H150" s="83">
        <f>G150*((100-Discounts!$B$68)/100)</f>
        <v>7.4</v>
      </c>
    </row>
    <row r="151" spans="1:14" ht="27" customHeight="1" x14ac:dyDescent="0.85">
      <c r="A151" s="18">
        <v>3</v>
      </c>
      <c r="B151" s="18" t="s">
        <v>168</v>
      </c>
      <c r="C151" s="18" t="s">
        <v>168</v>
      </c>
      <c r="D151" s="18">
        <v>2.2000000000000002</v>
      </c>
      <c r="E151" s="18">
        <v>10</v>
      </c>
      <c r="F151" s="20" t="s">
        <v>661</v>
      </c>
      <c r="G151" s="84">
        <v>18.5</v>
      </c>
      <c r="H151" s="84">
        <f>G151*((100-Discounts!$B$68)/100)</f>
        <v>7.4</v>
      </c>
    </row>
    <row r="152" spans="1:14" ht="27" customHeight="1" x14ac:dyDescent="0.85">
      <c r="A152" s="16">
        <v>5</v>
      </c>
      <c r="B152" s="16" t="s">
        <v>168</v>
      </c>
      <c r="C152" s="16" t="s">
        <v>168</v>
      </c>
      <c r="D152" s="16">
        <v>1</v>
      </c>
      <c r="E152" s="16">
        <v>10</v>
      </c>
      <c r="F152" s="19" t="s">
        <v>662</v>
      </c>
      <c r="G152" s="83">
        <v>33</v>
      </c>
      <c r="H152" s="83">
        <f>G152*((100-Discounts!$B$68)/100)</f>
        <v>13.200000000000001</v>
      </c>
    </row>
    <row r="153" spans="1:14" ht="27" customHeight="1" x14ac:dyDescent="0.85">
      <c r="A153" s="18">
        <v>5</v>
      </c>
      <c r="B153" s="18" t="s">
        <v>168</v>
      </c>
      <c r="C153" s="18" t="s">
        <v>168</v>
      </c>
      <c r="D153" s="18">
        <v>2</v>
      </c>
      <c r="E153" s="18">
        <v>10</v>
      </c>
      <c r="F153" s="20" t="s">
        <v>662</v>
      </c>
      <c r="G153" s="84">
        <v>33</v>
      </c>
      <c r="H153" s="84">
        <f>G153*((100-Discounts!$B$68)/100)</f>
        <v>13.200000000000001</v>
      </c>
    </row>
    <row r="154" spans="1:14" ht="27" customHeight="1" x14ac:dyDescent="0.85">
      <c r="A154" s="16">
        <v>6</v>
      </c>
      <c r="B154" s="16">
        <v>2</v>
      </c>
      <c r="C154" s="16" t="s">
        <v>178</v>
      </c>
      <c r="D154" s="16">
        <v>2</v>
      </c>
      <c r="E154" s="16">
        <v>10</v>
      </c>
      <c r="F154" s="19" t="s">
        <v>663</v>
      </c>
      <c r="G154" s="83">
        <v>44</v>
      </c>
      <c r="H154" s="83">
        <f>G154*((100-Discounts!$B$68)/100)</f>
        <v>17.600000000000001</v>
      </c>
    </row>
    <row r="155" spans="1:14" ht="27" customHeight="1" thickBot="1" x14ac:dyDescent="0.9">
      <c r="A155" s="18">
        <v>8</v>
      </c>
      <c r="B155" s="18">
        <v>1</v>
      </c>
      <c r="C155" s="18" t="s">
        <v>178</v>
      </c>
      <c r="D155" s="18">
        <v>2</v>
      </c>
      <c r="E155" s="18">
        <v>10</v>
      </c>
      <c r="F155" s="20" t="s">
        <v>664</v>
      </c>
      <c r="G155" s="84">
        <v>50</v>
      </c>
      <c r="H155" s="84">
        <f>G155*((100-Discounts!$B$68)/100)</f>
        <v>20</v>
      </c>
    </row>
    <row r="156" spans="1:14" s="11" customFormat="1" ht="40.5" customHeight="1" thickTop="1" thickBot="1" x14ac:dyDescent="0.9">
      <c r="A156" s="168" t="s">
        <v>665</v>
      </c>
      <c r="B156" s="68"/>
      <c r="C156" s="68"/>
      <c r="D156" s="69"/>
      <c r="E156" s="68"/>
      <c r="F156" s="155"/>
      <c r="G156" s="171" t="s">
        <v>597</v>
      </c>
      <c r="H156" s="171" t="s">
        <v>323</v>
      </c>
      <c r="I156" s="75"/>
      <c r="J156" s="13"/>
      <c r="N156" s="12"/>
    </row>
    <row r="157" spans="1:14" s="25" customFormat="1" ht="54" customHeight="1" thickTop="1" thickBot="1" x14ac:dyDescent="0.9">
      <c r="A157" s="70" t="s">
        <v>320</v>
      </c>
      <c r="B157" s="70" t="s">
        <v>171</v>
      </c>
      <c r="C157" s="70" t="s">
        <v>325</v>
      </c>
      <c r="D157" s="70" t="s">
        <v>321</v>
      </c>
      <c r="E157" s="70" t="s">
        <v>311</v>
      </c>
      <c r="F157" s="156" t="s">
        <v>322</v>
      </c>
      <c r="G157" s="172" t="s">
        <v>179</v>
      </c>
      <c r="H157" s="173" t="s">
        <v>199</v>
      </c>
      <c r="I157" s="71" t="s">
        <v>568</v>
      </c>
      <c r="J157" s="28"/>
      <c r="N157" s="26"/>
    </row>
    <row r="158" spans="1:14" ht="27" customHeight="1" thickTop="1" x14ac:dyDescent="0.85">
      <c r="A158" s="16">
        <v>3</v>
      </c>
      <c r="B158" s="16" t="s">
        <v>168</v>
      </c>
      <c r="C158" s="16" t="s">
        <v>168</v>
      </c>
      <c r="D158" s="16">
        <v>1</v>
      </c>
      <c r="E158" s="16">
        <v>10</v>
      </c>
      <c r="F158" s="19" t="s">
        <v>666</v>
      </c>
      <c r="G158" s="83">
        <v>17.25</v>
      </c>
      <c r="H158" s="83">
        <f>G158*((100-Discounts!$B$69)/100)</f>
        <v>6.9</v>
      </c>
      <c r="I158" s="16" t="s">
        <v>577</v>
      </c>
    </row>
    <row r="159" spans="1:14" ht="27" customHeight="1" x14ac:dyDescent="0.85">
      <c r="A159" s="18">
        <v>3</v>
      </c>
      <c r="B159" s="18" t="s">
        <v>168</v>
      </c>
      <c r="C159" s="18" t="s">
        <v>168</v>
      </c>
      <c r="D159" s="18">
        <v>1.2</v>
      </c>
      <c r="E159" s="18">
        <v>10</v>
      </c>
      <c r="F159" s="20" t="s">
        <v>666</v>
      </c>
      <c r="G159" s="84">
        <v>17.25</v>
      </c>
      <c r="H159" s="84">
        <f>G159*((100-Discounts!$B$69)/100)</f>
        <v>6.9</v>
      </c>
      <c r="I159" s="18" t="s">
        <v>577</v>
      </c>
    </row>
    <row r="160" spans="1:14" ht="27" customHeight="1" thickBot="1" x14ac:dyDescent="0.9">
      <c r="A160" s="16">
        <v>3</v>
      </c>
      <c r="B160" s="16" t="s">
        <v>168</v>
      </c>
      <c r="C160" s="16" t="s">
        <v>168</v>
      </c>
      <c r="D160" s="16">
        <v>1.2</v>
      </c>
      <c r="E160" s="16">
        <v>10</v>
      </c>
      <c r="F160" s="19" t="s">
        <v>667</v>
      </c>
      <c r="G160" s="83">
        <v>26</v>
      </c>
      <c r="H160" s="83">
        <f>G160*((100-Discounts!$B$69)/100)</f>
        <v>10.4</v>
      </c>
      <c r="I160" s="16" t="s">
        <v>572</v>
      </c>
    </row>
    <row r="161" spans="1:35" ht="40.5" customHeight="1" thickTop="1" thickBot="1" x14ac:dyDescent="0.9">
      <c r="A161" s="168" t="s">
        <v>181</v>
      </c>
      <c r="B161" s="68"/>
      <c r="C161" s="68"/>
      <c r="D161" s="69"/>
      <c r="E161" s="68"/>
      <c r="F161" s="155"/>
      <c r="G161" s="171" t="s">
        <v>597</v>
      </c>
      <c r="H161" s="171" t="s">
        <v>323</v>
      </c>
    </row>
    <row r="162" spans="1:35" ht="54" customHeight="1" thickTop="1" thickBot="1" x14ac:dyDescent="0.9">
      <c r="A162" s="70" t="s">
        <v>320</v>
      </c>
      <c r="B162" s="70" t="s">
        <v>171</v>
      </c>
      <c r="C162" s="70" t="s">
        <v>325</v>
      </c>
      <c r="D162" s="70" t="s">
        <v>321</v>
      </c>
      <c r="E162" s="70" t="s">
        <v>311</v>
      </c>
      <c r="F162" s="156" t="s">
        <v>322</v>
      </c>
      <c r="G162" s="172" t="s">
        <v>179</v>
      </c>
      <c r="H162" s="173" t="s">
        <v>199</v>
      </c>
    </row>
    <row r="163" spans="1:35" ht="27" customHeight="1" thickTop="1" x14ac:dyDescent="0.85">
      <c r="A163" s="16">
        <v>3</v>
      </c>
      <c r="B163" s="16" t="s">
        <v>168</v>
      </c>
      <c r="C163" s="16" t="s">
        <v>168</v>
      </c>
      <c r="D163" s="16">
        <v>1.2</v>
      </c>
      <c r="E163" s="16">
        <v>10</v>
      </c>
      <c r="F163" s="19" t="s">
        <v>668</v>
      </c>
      <c r="G163" s="83">
        <v>18</v>
      </c>
      <c r="H163" s="83">
        <f>G163*((100-Discounts!$B$70)/100)</f>
        <v>7.2</v>
      </c>
    </row>
    <row r="164" spans="1:35" ht="27" customHeight="1" thickBot="1" x14ac:dyDescent="0.9">
      <c r="A164" s="18">
        <v>3</v>
      </c>
      <c r="B164" s="18" t="s">
        <v>168</v>
      </c>
      <c r="C164" s="18" t="s">
        <v>168</v>
      </c>
      <c r="D164" s="18">
        <v>1.5</v>
      </c>
      <c r="E164" s="18">
        <v>10</v>
      </c>
      <c r="F164" s="20" t="s">
        <v>668</v>
      </c>
      <c r="G164" s="84">
        <v>18</v>
      </c>
      <c r="H164" s="84">
        <f>G164*((100-Discounts!$B$70)/100)</f>
        <v>7.2</v>
      </c>
    </row>
    <row r="165" spans="1:35" ht="40.5" customHeight="1" thickTop="1" thickBot="1" x14ac:dyDescent="0.9">
      <c r="A165" s="168" t="s">
        <v>669</v>
      </c>
      <c r="B165" s="68"/>
      <c r="C165" s="68"/>
      <c r="D165" s="69"/>
      <c r="E165" s="68"/>
      <c r="F165" s="155"/>
      <c r="G165" s="171" t="s">
        <v>597</v>
      </c>
      <c r="H165" s="171" t="s">
        <v>323</v>
      </c>
    </row>
    <row r="166" spans="1:35" ht="54" customHeight="1" thickTop="1" thickBot="1" x14ac:dyDescent="0.9">
      <c r="A166" s="70" t="s">
        <v>320</v>
      </c>
      <c r="B166" s="70" t="s">
        <v>171</v>
      </c>
      <c r="C166" s="70" t="s">
        <v>325</v>
      </c>
      <c r="D166" s="70" t="s">
        <v>321</v>
      </c>
      <c r="E166" s="70" t="s">
        <v>311</v>
      </c>
      <c r="F166" s="156" t="s">
        <v>322</v>
      </c>
      <c r="G166" s="172" t="s">
        <v>179</v>
      </c>
      <c r="H166" s="173" t="s">
        <v>199</v>
      </c>
      <c r="I166" s="71" t="s">
        <v>568</v>
      </c>
    </row>
    <row r="167" spans="1:35" ht="27" customHeight="1" thickTop="1" x14ac:dyDescent="0.85">
      <c r="A167" s="16">
        <v>3</v>
      </c>
      <c r="B167" s="16" t="s">
        <v>168</v>
      </c>
      <c r="C167" s="16" t="s">
        <v>168</v>
      </c>
      <c r="D167" s="16">
        <v>1</v>
      </c>
      <c r="E167" s="16">
        <v>10</v>
      </c>
      <c r="F167" s="19" t="s">
        <v>670</v>
      </c>
      <c r="G167" s="83">
        <v>17.25</v>
      </c>
      <c r="H167" s="83">
        <f>G167*((100-Discounts!$B$71)/100)</f>
        <v>6.9</v>
      </c>
      <c r="I167" s="16" t="s">
        <v>577</v>
      </c>
    </row>
    <row r="168" spans="1:35" ht="27" customHeight="1" thickBot="1" x14ac:dyDescent="0.9">
      <c r="A168" s="18">
        <v>3</v>
      </c>
      <c r="B168" s="18" t="s">
        <v>168</v>
      </c>
      <c r="C168" s="18" t="s">
        <v>168</v>
      </c>
      <c r="D168" s="18">
        <v>1.2</v>
      </c>
      <c r="E168" s="18">
        <v>10</v>
      </c>
      <c r="F168" s="20" t="s">
        <v>671</v>
      </c>
      <c r="G168" s="84">
        <v>26</v>
      </c>
      <c r="H168" s="84">
        <f>G168*((100-Discounts!$B$71)/100)</f>
        <v>10.4</v>
      </c>
      <c r="I168" s="18" t="s">
        <v>572</v>
      </c>
    </row>
    <row r="169" spans="1:35" ht="40.5" customHeight="1" thickTop="1" thickBot="1" x14ac:dyDescent="0.9">
      <c r="A169" s="168" t="s">
        <v>672</v>
      </c>
      <c r="B169" s="68"/>
      <c r="C169" s="68"/>
      <c r="D169" s="69"/>
      <c r="E169" s="68"/>
      <c r="F169" s="155"/>
      <c r="G169" s="171" t="s">
        <v>597</v>
      </c>
      <c r="H169" s="171" t="s">
        <v>323</v>
      </c>
    </row>
    <row r="170" spans="1:35" ht="54" customHeight="1" thickTop="1" thickBot="1" x14ac:dyDescent="0.9">
      <c r="A170" s="70" t="s">
        <v>320</v>
      </c>
      <c r="B170" s="70" t="s">
        <v>171</v>
      </c>
      <c r="C170" s="70" t="s">
        <v>325</v>
      </c>
      <c r="D170" s="70" t="s">
        <v>321</v>
      </c>
      <c r="E170" s="70" t="s">
        <v>311</v>
      </c>
      <c r="F170" s="156" t="s">
        <v>322</v>
      </c>
      <c r="G170" s="172" t="s">
        <v>179</v>
      </c>
      <c r="H170" s="173" t="s">
        <v>199</v>
      </c>
    </row>
    <row r="171" spans="1:35" ht="27" customHeight="1" thickTop="1" thickBot="1" x14ac:dyDescent="0.9">
      <c r="A171" s="16">
        <v>2.5</v>
      </c>
      <c r="B171" s="16" t="s">
        <v>168</v>
      </c>
      <c r="C171" s="16" t="s">
        <v>168</v>
      </c>
      <c r="D171" s="16">
        <v>1.2</v>
      </c>
      <c r="E171" s="16">
        <v>10</v>
      </c>
      <c r="F171" s="97" t="s">
        <v>673</v>
      </c>
      <c r="G171" s="83">
        <v>44</v>
      </c>
      <c r="H171" s="83">
        <f>G171*((100-Discounts!$B$72)/100)</f>
        <v>17.600000000000001</v>
      </c>
    </row>
    <row r="172" spans="1:35" ht="27.5" thickTop="1" thickBot="1" x14ac:dyDescent="0.9">
      <c r="A172" s="168" t="s">
        <v>706</v>
      </c>
      <c r="B172" s="68"/>
      <c r="C172" s="68"/>
      <c r="D172" s="69"/>
      <c r="E172" s="68"/>
      <c r="F172" s="69"/>
      <c r="G172" s="200" t="s">
        <v>597</v>
      </c>
      <c r="H172" s="201" t="s">
        <v>323</v>
      </c>
    </row>
    <row r="173" spans="1:35" ht="54" thickTop="1" thickBot="1" x14ac:dyDescent="0.9">
      <c r="A173" s="70" t="s">
        <v>320</v>
      </c>
      <c r="B173" s="70" t="s">
        <v>171</v>
      </c>
      <c r="C173" s="70" t="s">
        <v>325</v>
      </c>
      <c r="D173" s="70" t="s">
        <v>321</v>
      </c>
      <c r="E173" s="70" t="s">
        <v>311</v>
      </c>
      <c r="F173" s="202" t="s">
        <v>322</v>
      </c>
      <c r="G173" s="203" t="s">
        <v>179</v>
      </c>
      <c r="H173" s="71" t="s">
        <v>199</v>
      </c>
      <c r="I173" s="71" t="s">
        <v>568</v>
      </c>
      <c r="N173" s="182" t="s">
        <v>707</v>
      </c>
      <c r="O173" s="182" t="s">
        <v>708</v>
      </c>
      <c r="P173" s="182"/>
      <c r="Q173" s="204">
        <v>65</v>
      </c>
      <c r="R173" s="204">
        <v>64</v>
      </c>
      <c r="S173" s="204">
        <v>63</v>
      </c>
      <c r="T173" s="204">
        <v>62</v>
      </c>
      <c r="U173" s="204">
        <v>61</v>
      </c>
      <c r="V173" s="204">
        <v>60</v>
      </c>
      <c r="W173" s="204">
        <v>59</v>
      </c>
      <c r="X173" s="204">
        <v>58</v>
      </c>
      <c r="Y173" s="204">
        <v>57</v>
      </c>
      <c r="Z173" s="204">
        <v>56</v>
      </c>
      <c r="AA173" s="204">
        <v>55</v>
      </c>
      <c r="AB173" s="204">
        <v>54</v>
      </c>
      <c r="AC173" s="204">
        <v>53</v>
      </c>
      <c r="AD173" s="204">
        <v>52</v>
      </c>
      <c r="AE173" s="204">
        <v>51</v>
      </c>
      <c r="AF173" s="204">
        <v>50</v>
      </c>
      <c r="AG173" s="204">
        <v>49</v>
      </c>
      <c r="AH173" s="204">
        <v>45</v>
      </c>
      <c r="AI173" s="204">
        <v>40</v>
      </c>
    </row>
    <row r="174" spans="1:35" thickTop="1" x14ac:dyDescent="0.85">
      <c r="A174" s="16">
        <v>2</v>
      </c>
      <c r="B174" s="16" t="s">
        <v>168</v>
      </c>
      <c r="C174" s="16" t="s">
        <v>168</v>
      </c>
      <c r="D174" s="16">
        <v>1.2</v>
      </c>
      <c r="E174" s="16">
        <v>10</v>
      </c>
      <c r="F174" s="205" t="s">
        <v>709</v>
      </c>
      <c r="G174" s="206">
        <v>95</v>
      </c>
      <c r="H174" s="206">
        <f>G174*((100-Discounts!$B$73)/100)</f>
        <v>38</v>
      </c>
      <c r="I174" s="16" t="s">
        <v>711</v>
      </c>
      <c r="N174" s="207">
        <v>18.66</v>
      </c>
      <c r="O174" s="184">
        <f>G174/N174</f>
        <v>5.091103965702036</v>
      </c>
      <c r="P174" s="185">
        <f>(($G174*((100-P$170)/100))/$N174)-1</f>
        <v>4.091103965702036</v>
      </c>
      <c r="Q174" s="185">
        <f>(($G174*((100-Q$3)/100))/$N174)-1</f>
        <v>4.091103965702036</v>
      </c>
      <c r="R174" s="185">
        <f>(($G174*((100-R$3)/100))/$N174)-1</f>
        <v>4.091103965702036</v>
      </c>
      <c r="S174" s="185">
        <f t="shared" ref="S174:AI174" si="0">(($G174*((100-S$3)/100))/$N174)-1</f>
        <v>4.091103965702036</v>
      </c>
      <c r="T174" s="185">
        <f t="shared" si="0"/>
        <v>4.091103965702036</v>
      </c>
      <c r="U174" s="185">
        <f t="shared" si="0"/>
        <v>4.091103965702036</v>
      </c>
      <c r="V174" s="185">
        <f t="shared" si="0"/>
        <v>4.091103965702036</v>
      </c>
      <c r="W174" s="185">
        <f t="shared" si="0"/>
        <v>4.091103965702036</v>
      </c>
      <c r="X174" s="185">
        <f t="shared" si="0"/>
        <v>4.091103965702036</v>
      </c>
      <c r="Y174" s="185">
        <f t="shared" si="0"/>
        <v>4.091103965702036</v>
      </c>
      <c r="Z174" s="185">
        <f t="shared" si="0"/>
        <v>4.091103965702036</v>
      </c>
      <c r="AA174" s="185">
        <f t="shared" si="0"/>
        <v>4.091103965702036</v>
      </c>
      <c r="AB174" s="185">
        <f t="shared" si="0"/>
        <v>4.091103965702036</v>
      </c>
      <c r="AC174" s="185">
        <f t="shared" si="0"/>
        <v>4.091103965702036</v>
      </c>
      <c r="AD174" s="185">
        <f t="shared" si="0"/>
        <v>4.091103965702036</v>
      </c>
      <c r="AE174" s="185">
        <f t="shared" si="0"/>
        <v>4.091103965702036</v>
      </c>
      <c r="AF174" s="185">
        <f t="shared" si="0"/>
        <v>4.091103965702036</v>
      </c>
      <c r="AG174" s="185">
        <f t="shared" si="0"/>
        <v>4.091103965702036</v>
      </c>
      <c r="AH174" s="185">
        <f t="shared" si="0"/>
        <v>4.091103965702036</v>
      </c>
      <c r="AI174" s="185">
        <f t="shared" si="0"/>
        <v>4.091103965702036</v>
      </c>
    </row>
    <row r="175" spans="1:35" thickBot="1" x14ac:dyDescent="0.9">
      <c r="A175" s="18">
        <v>2</v>
      </c>
      <c r="B175" s="18"/>
      <c r="C175" s="18"/>
      <c r="D175" s="18">
        <v>1.2</v>
      </c>
      <c r="E175" s="18">
        <v>10</v>
      </c>
      <c r="F175" s="198" t="s">
        <v>710</v>
      </c>
      <c r="G175" s="199">
        <v>95</v>
      </c>
      <c r="H175" s="199">
        <f>G175*((100-Discounts!$B$73)/100)</f>
        <v>38</v>
      </c>
      <c r="I175" s="18" t="s">
        <v>572</v>
      </c>
      <c r="N175" s="207">
        <v>18.66</v>
      </c>
      <c r="O175" s="184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185"/>
      <c r="AF175" s="185"/>
      <c r="AG175" s="185"/>
      <c r="AH175" s="185"/>
      <c r="AI175" s="185"/>
    </row>
    <row r="176" spans="1:35" ht="40.5" customHeight="1" thickTop="1" thickBot="1" x14ac:dyDescent="0.9">
      <c r="A176" s="168" t="s">
        <v>678</v>
      </c>
      <c r="B176" s="68"/>
      <c r="C176" s="68"/>
      <c r="D176" s="69"/>
      <c r="E176" s="68"/>
      <c r="F176" s="155"/>
      <c r="G176" s="171" t="s">
        <v>597</v>
      </c>
      <c r="H176" s="171" t="s">
        <v>323</v>
      </c>
    </row>
    <row r="177" spans="1:17" ht="54" customHeight="1" thickTop="1" thickBot="1" x14ac:dyDescent="0.9">
      <c r="A177" s="70" t="s">
        <v>320</v>
      </c>
      <c r="B177" s="70" t="s">
        <v>171</v>
      </c>
      <c r="C177" s="70" t="s">
        <v>325</v>
      </c>
      <c r="D177" s="70" t="s">
        <v>321</v>
      </c>
      <c r="E177" s="70" t="s">
        <v>311</v>
      </c>
      <c r="F177" s="156" t="s">
        <v>322</v>
      </c>
      <c r="G177" s="172" t="s">
        <v>702</v>
      </c>
      <c r="H177" s="173" t="s">
        <v>199</v>
      </c>
      <c r="O177" s="209"/>
      <c r="Q177" s="209"/>
    </row>
    <row r="178" spans="1:17" ht="27" customHeight="1" thickTop="1" x14ac:dyDescent="0.85">
      <c r="A178" s="16">
        <v>8</v>
      </c>
      <c r="B178" s="16" t="s">
        <v>168</v>
      </c>
      <c r="C178" s="16" t="s">
        <v>168</v>
      </c>
      <c r="D178" s="16">
        <v>0.5</v>
      </c>
      <c r="E178" s="16">
        <v>0.5</v>
      </c>
      <c r="F178" s="19" t="s">
        <v>674</v>
      </c>
      <c r="G178" s="83">
        <v>24</v>
      </c>
      <c r="H178" s="83">
        <f>G178*((100-Discounts!$B$74)/100)</f>
        <v>9.6000000000000014</v>
      </c>
      <c r="Q178" s="209"/>
    </row>
    <row r="179" spans="1:17" ht="27" customHeight="1" x14ac:dyDescent="0.85">
      <c r="A179" s="18">
        <v>8</v>
      </c>
      <c r="B179" s="18" t="s">
        <v>168</v>
      </c>
      <c r="C179" s="18" t="s">
        <v>168</v>
      </c>
      <c r="D179" s="18">
        <v>1</v>
      </c>
      <c r="E179" s="18">
        <v>1</v>
      </c>
      <c r="F179" s="20" t="s">
        <v>675</v>
      </c>
      <c r="G179" s="84">
        <v>115</v>
      </c>
      <c r="H179" s="84">
        <f>G179*((100-Discounts!$B$74)/100)</f>
        <v>46</v>
      </c>
    </row>
    <row r="180" spans="1:17" ht="27" customHeight="1" x14ac:dyDescent="0.85">
      <c r="A180" s="16">
        <v>10</v>
      </c>
      <c r="B180" s="16" t="s">
        <v>168</v>
      </c>
      <c r="C180" s="16" t="s">
        <v>168</v>
      </c>
      <c r="D180" s="16">
        <v>0.5</v>
      </c>
      <c r="E180" s="16">
        <v>0.5</v>
      </c>
      <c r="F180" s="19" t="s">
        <v>676</v>
      </c>
      <c r="G180" s="83">
        <v>28</v>
      </c>
      <c r="H180" s="83">
        <f>G180*((100-Discounts!$B$74)/100)</f>
        <v>11.200000000000001</v>
      </c>
    </row>
    <row r="181" spans="1:17" ht="27" customHeight="1" thickBot="1" x14ac:dyDescent="0.9">
      <c r="A181" s="18">
        <v>10</v>
      </c>
      <c r="B181" s="18" t="s">
        <v>168</v>
      </c>
      <c r="C181" s="18" t="s">
        <v>168</v>
      </c>
      <c r="D181" s="18">
        <v>1</v>
      </c>
      <c r="E181" s="18">
        <v>1</v>
      </c>
      <c r="F181" s="20" t="s">
        <v>677</v>
      </c>
      <c r="G181" s="84">
        <v>130</v>
      </c>
      <c r="H181" s="84">
        <f>G181*((100-Discounts!$B$74)/100)</f>
        <v>52</v>
      </c>
    </row>
    <row r="182" spans="1:17" ht="40.5" customHeight="1" thickTop="1" thickBot="1" x14ac:dyDescent="0.9">
      <c r="A182" s="168" t="s">
        <v>679</v>
      </c>
      <c r="B182" s="68"/>
      <c r="C182" s="68"/>
      <c r="D182" s="69"/>
      <c r="E182" s="68"/>
      <c r="F182" s="155"/>
      <c r="G182" s="171" t="s">
        <v>597</v>
      </c>
      <c r="H182" s="171" t="s">
        <v>323</v>
      </c>
    </row>
    <row r="183" spans="1:17" ht="54" customHeight="1" thickTop="1" thickBot="1" x14ac:dyDescent="0.9">
      <c r="A183" s="70" t="s">
        <v>320</v>
      </c>
      <c r="B183" s="70" t="s">
        <v>171</v>
      </c>
      <c r="C183" s="70" t="s">
        <v>325</v>
      </c>
      <c r="D183" s="70" t="s">
        <v>321</v>
      </c>
      <c r="E183" s="70" t="s">
        <v>311</v>
      </c>
      <c r="F183" s="156" t="s">
        <v>322</v>
      </c>
      <c r="G183" s="172" t="s">
        <v>702</v>
      </c>
      <c r="H183" s="173" t="s">
        <v>199</v>
      </c>
    </row>
    <row r="184" spans="1:17" ht="27" customHeight="1" thickTop="1" x14ac:dyDescent="0.85">
      <c r="A184" s="16">
        <v>8</v>
      </c>
      <c r="B184" s="16" t="s">
        <v>168</v>
      </c>
      <c r="C184" s="16" t="s">
        <v>168</v>
      </c>
      <c r="D184" s="16">
        <v>0.5</v>
      </c>
      <c r="E184" s="16">
        <v>0.5</v>
      </c>
      <c r="F184" s="19" t="s">
        <v>680</v>
      </c>
      <c r="G184" s="83">
        <v>21</v>
      </c>
      <c r="H184" s="83">
        <f>G184*((100-Discounts!$B$74)/100)</f>
        <v>8.4</v>
      </c>
    </row>
    <row r="185" spans="1:17" ht="27" customHeight="1" x14ac:dyDescent="0.85">
      <c r="A185" s="18">
        <v>8</v>
      </c>
      <c r="B185" s="18" t="s">
        <v>168</v>
      </c>
      <c r="C185" s="18" t="s">
        <v>168</v>
      </c>
      <c r="D185" s="18">
        <v>1</v>
      </c>
      <c r="E185" s="18">
        <v>1</v>
      </c>
      <c r="F185" s="20" t="s">
        <v>681</v>
      </c>
      <c r="G185" s="84">
        <v>110</v>
      </c>
      <c r="H185" s="84">
        <f>G185*((100-Discounts!$B$74)/100)</f>
        <v>44</v>
      </c>
    </row>
    <row r="186" spans="1:17" ht="27" customHeight="1" x14ac:dyDescent="0.85">
      <c r="A186" s="16">
        <v>10</v>
      </c>
      <c r="B186" s="16" t="s">
        <v>168</v>
      </c>
      <c r="C186" s="16" t="s">
        <v>168</v>
      </c>
      <c r="D186" s="16">
        <v>0.5</v>
      </c>
      <c r="E186" s="16">
        <v>0.5</v>
      </c>
      <c r="F186" s="19" t="s">
        <v>682</v>
      </c>
      <c r="G186" s="83">
        <v>27</v>
      </c>
      <c r="H186" s="83">
        <f>G186*((100-Discounts!$B$74)/100)</f>
        <v>10.8</v>
      </c>
    </row>
    <row r="187" spans="1:17" ht="27" customHeight="1" x14ac:dyDescent="0.85">
      <c r="A187" s="18">
        <v>10</v>
      </c>
      <c r="B187" s="18" t="s">
        <v>168</v>
      </c>
      <c r="C187" s="18" t="s">
        <v>168</v>
      </c>
      <c r="D187" s="18">
        <v>1</v>
      </c>
      <c r="E187" s="18">
        <v>1</v>
      </c>
      <c r="F187" s="20" t="s">
        <v>683</v>
      </c>
      <c r="G187" s="84">
        <v>125</v>
      </c>
      <c r="H187" s="84">
        <f>G187*((100-Discounts!$B$74)/100)</f>
        <v>50</v>
      </c>
    </row>
  </sheetData>
  <hyperlinks>
    <hyperlink ref="A1:B1" r:id="rId1" display="Food Grade &amp; VMQ Silicone" xr:uid="{085BBC39-1DB6-48E9-9405-49D4DEDD6BB1}"/>
    <hyperlink ref="H2" r:id="rId2" xr:uid="{22432ACD-7703-49AD-A27C-9FA6F9D48CF7}"/>
    <hyperlink ref="A2" r:id="rId3" xr:uid="{F0CB4D86-9B2F-419E-BA55-57E1C6B4D8DF}"/>
    <hyperlink ref="A1:C1" r:id="rId4" display="Rubber matting" xr:uid="{C9D0696E-B43B-4D39-8A34-8F4132A95A8D}"/>
    <hyperlink ref="H15" r:id="rId5" xr:uid="{9A5C4AD8-7EA5-4433-B20F-4DF7A0278DD0}"/>
    <hyperlink ref="A15" r:id="rId6" xr:uid="{EF9B8B1A-EF7C-4B65-9712-227DF54DE169}"/>
    <hyperlink ref="H22" r:id="rId7" xr:uid="{F4EB24D5-5CBB-478A-B561-2BE0E8745EB6}"/>
    <hyperlink ref="A22" r:id="rId8" xr:uid="{3522AAFB-97EE-4EDF-8FD7-A501F4115B7C}"/>
    <hyperlink ref="H25" r:id="rId9" xr:uid="{F39AFC7F-87C4-4C0E-8602-317A5A02AA2C}"/>
    <hyperlink ref="A25" r:id="rId10" xr:uid="{B5BE3DD8-245C-4FAB-8331-9BFB9152240F}"/>
    <hyperlink ref="H28" r:id="rId11" xr:uid="{256899F2-030E-4ADA-B2D1-AF327D52156E}"/>
    <hyperlink ref="A28" r:id="rId12" xr:uid="{D8FF5C0A-F8AD-4436-A804-925FACC6F92F}"/>
    <hyperlink ref="H37" r:id="rId13" xr:uid="{F06AF8D1-0293-433D-9E01-D0DFD79D33CC}"/>
    <hyperlink ref="A37" r:id="rId14" xr:uid="{0EB06A99-0701-46DC-B326-976C46D29ECA}"/>
    <hyperlink ref="G2" r:id="rId15" xr:uid="{C285CCDE-B097-4422-89E7-38A21BEF4E34}"/>
    <hyperlink ref="G15" r:id="rId16" xr:uid="{0F144391-50C2-4902-82D4-42CE6CAAB0AB}"/>
    <hyperlink ref="G22" r:id="rId17" xr:uid="{F62608DE-159C-45A6-86C9-A0CF0D52C5AD}"/>
    <hyperlink ref="G25" r:id="rId18" xr:uid="{AF17C698-BC3C-4390-B115-255F2724A595}"/>
    <hyperlink ref="G28" r:id="rId19" xr:uid="{68A77143-27B5-4931-B96B-9948055C6BDD}"/>
    <hyperlink ref="G37" r:id="rId20" xr:uid="{FC48110E-9CE0-4922-92C9-8B385108A71D}"/>
    <hyperlink ref="H58" r:id="rId21" xr:uid="{E43157EF-4428-430F-8D9D-CD9E965D5865}"/>
    <hyperlink ref="A58" r:id="rId22" display="Saturn Fine Rib" xr:uid="{082CBFE8-2CCC-43CD-AD33-59BBDEE8E183}"/>
    <hyperlink ref="G58" r:id="rId23" xr:uid="{A8F8E1A4-7BE7-4C0B-8E1B-6366DE241DE3}"/>
    <hyperlink ref="H42" r:id="rId24" xr:uid="{CCD4BA4F-4886-4134-A4EE-9BAE93E1490A}"/>
    <hyperlink ref="A42" r:id="rId25" xr:uid="{7A6DBFA6-6DF4-4DF7-8EB8-B0CEF2FD21AE}"/>
    <hyperlink ref="G42" r:id="rId26" xr:uid="{9F99CF79-B590-4ED2-A82B-D8467E9CDEE6}"/>
    <hyperlink ref="H62" r:id="rId27" xr:uid="{23EABDB9-9087-4CE7-9D7F-A29A5941A59F}"/>
    <hyperlink ref="A62" r:id="rId28" xr:uid="{027B06E7-AFBD-4591-B3F7-DF12A5BC40AE}"/>
    <hyperlink ref="G62" r:id="rId29" xr:uid="{F9BE08BE-3DB6-4E24-8465-AE56D6D30BB5}"/>
    <hyperlink ref="H66" r:id="rId30" xr:uid="{3FCB88D1-F705-4BD4-8335-448FD6460904}"/>
    <hyperlink ref="A66" r:id="rId31" xr:uid="{48F8F6DD-AF9A-4BC7-B6BD-ADD2ED532046}"/>
    <hyperlink ref="G66" r:id="rId32" xr:uid="{E84FC371-705C-4005-84EB-1CE23721E923}"/>
    <hyperlink ref="H72" r:id="rId33" xr:uid="{FFDB21FD-8404-4229-9BA3-E1C7772C67BB}"/>
    <hyperlink ref="A72" r:id="rId34" xr:uid="{934D75FD-00CD-4FB8-B8E2-A99918F58261}"/>
    <hyperlink ref="G72" r:id="rId35" xr:uid="{11F0D5CA-5AFD-4F90-9CF5-1C2732FDA923}"/>
    <hyperlink ref="H75" r:id="rId36" xr:uid="{9B582A19-19BB-4C68-AF9A-0FB47C3ACE07}"/>
    <hyperlink ref="A75" r:id="rId37" xr:uid="{A0A3D194-B7CA-4AB6-9DFA-054095C8559C}"/>
    <hyperlink ref="G75" r:id="rId38" xr:uid="{C4811189-0FC7-40CD-9182-CCDB3F72E755}"/>
    <hyperlink ref="H81" r:id="rId39" xr:uid="{0C0C151E-F07D-4E96-82D9-C1C25FCE068E}"/>
    <hyperlink ref="A81" r:id="rId40" xr:uid="{217FB504-8A8C-4334-9BD9-F1CD10207564}"/>
    <hyperlink ref="G81" r:id="rId41" xr:uid="{51201E30-F45B-495D-B905-05E9EBDA065B}"/>
    <hyperlink ref="H87" r:id="rId42" xr:uid="{EC425479-AB9D-4C89-935B-51C4075BCF56}"/>
    <hyperlink ref="A87" r:id="rId43" xr:uid="{015E48B6-7976-46D1-B4A2-FE72F86D9313}"/>
    <hyperlink ref="G87" r:id="rId44" xr:uid="{B408E0F1-D255-46E0-BA84-73C8EC761322}"/>
    <hyperlink ref="H92" r:id="rId45" xr:uid="{BFD7627A-61E2-478D-818D-F6F42859D4DD}"/>
    <hyperlink ref="A92" r:id="rId46" xr:uid="{E1572B57-D1D7-484B-8C17-A76A328FC185}"/>
    <hyperlink ref="G92" r:id="rId47" xr:uid="{F2CB94FB-C029-46F6-A226-84F43DE41234}"/>
    <hyperlink ref="H99" r:id="rId48" xr:uid="{DB2D85FC-FC0F-4833-BE04-FFBEB2B8B5BF}"/>
    <hyperlink ref="A99" r:id="rId49" xr:uid="{168CC3B7-06FA-4186-A243-C5DE8A1DAAE8}"/>
    <hyperlink ref="G99" r:id="rId50" xr:uid="{B6AFE609-EF7C-4EC3-9567-683C9782DD6C}"/>
    <hyperlink ref="H107" r:id="rId51" xr:uid="{8CA38A10-F0FD-4E7B-A0F2-889E8A1C4EAE}"/>
    <hyperlink ref="A107" r:id="rId52" xr:uid="{BF9C76EF-522C-43CE-9977-1423867E97D0}"/>
    <hyperlink ref="G107" r:id="rId53" xr:uid="{407F69A8-AA88-4019-94EC-51DB737EA745}"/>
    <hyperlink ref="H113" r:id="rId54" xr:uid="{1E324608-7433-4AE4-B9C8-8D3C9DC20364}"/>
    <hyperlink ref="A113" r:id="rId55" xr:uid="{A1938732-D563-45B3-BA84-86350E774A83}"/>
    <hyperlink ref="G113" r:id="rId56" xr:uid="{6AD865E0-2DE7-44F9-9645-6A6E6FC3C79C}"/>
    <hyperlink ref="H122" r:id="rId57" xr:uid="{99573292-76CE-487F-9616-48EE278995FA}"/>
    <hyperlink ref="A122" r:id="rId58" xr:uid="{FF5B38CF-2EC3-459B-A30E-6B9C0DF1ABA5}"/>
    <hyperlink ref="G122" r:id="rId59" xr:uid="{F7EE2A70-E2EC-4C1D-AF27-D1AA03064885}"/>
    <hyperlink ref="H127" r:id="rId60" xr:uid="{748ADF31-B29E-47EF-A4C8-5103844EC1AD}"/>
    <hyperlink ref="A127" r:id="rId61" xr:uid="{7A8F5D97-E037-41BA-BF94-3BF4DDA585F9}"/>
    <hyperlink ref="G127" r:id="rId62" xr:uid="{11B27613-8483-42D2-BF94-00505FC0D263}"/>
    <hyperlink ref="H142" r:id="rId63" xr:uid="{3ED0E835-6F6B-4048-BE97-4663756EFBF1}"/>
    <hyperlink ref="A142" r:id="rId64" xr:uid="{14DB33E4-ABAE-401C-929E-9BA6059DDED8}"/>
    <hyperlink ref="G142" r:id="rId65" xr:uid="{CEEFDCE4-2569-4CC2-85FB-AB18F5355FDF}"/>
    <hyperlink ref="H146" r:id="rId66" xr:uid="{EBB30074-C471-422A-A1DE-E0599FDBB36C}"/>
    <hyperlink ref="A146" r:id="rId67" xr:uid="{5BF4393D-4E9C-4A79-91D8-F98EDE90F93A}"/>
    <hyperlink ref="G146" r:id="rId68" xr:uid="{0FB48FA7-7C94-41FA-B5A6-B9C568F57BB2}"/>
    <hyperlink ref="H156" r:id="rId69" xr:uid="{51811592-4335-47A9-82F3-6C335C2DD0E5}"/>
    <hyperlink ref="A156" r:id="rId70" xr:uid="{1B57DD76-6D17-4149-9EDE-4755E1EB6D75}"/>
    <hyperlink ref="G156" r:id="rId71" xr:uid="{FA052338-0B1F-489F-9134-6D5B8C7AD8F1}"/>
    <hyperlink ref="H161" r:id="rId72" xr:uid="{A4022D05-DFF5-4EE6-9DB5-D0AEE551B455}"/>
    <hyperlink ref="A161" r:id="rId73" xr:uid="{3747E929-9CD9-4A2B-B536-89746EE7D972}"/>
    <hyperlink ref="G161" r:id="rId74" xr:uid="{61EA87C9-4F5A-4528-A99A-846BC954BCC0}"/>
    <hyperlink ref="H165" r:id="rId75" xr:uid="{ED193C77-F720-4262-97A1-620376A6AA42}"/>
    <hyperlink ref="A165" r:id="rId76" xr:uid="{4B015B03-3633-45C8-B51F-D5FA72EA5BCD}"/>
    <hyperlink ref="G165" r:id="rId77" xr:uid="{C0B1B623-0C83-470D-8652-C66AE3C5689B}"/>
    <hyperlink ref="H169" r:id="rId78" xr:uid="{A77C66EA-A881-43C6-9F3D-A0E8A728DDE5}"/>
    <hyperlink ref="A169" r:id="rId79" xr:uid="{827EC9D8-C0B3-40A1-AE9B-BFC644E82910}"/>
    <hyperlink ref="G169" r:id="rId80" xr:uid="{27AAD2FA-B878-4523-8F0D-C9C1A4919879}"/>
    <hyperlink ref="H176" r:id="rId81" xr:uid="{DBB0EDEB-9838-433E-91E3-56387F6A3D03}"/>
    <hyperlink ref="A176" r:id="rId82" xr:uid="{ED42D76C-27AE-4CC4-A32C-92C9A8B7FD2D}"/>
    <hyperlink ref="G176" r:id="rId83" xr:uid="{4E33CC05-3CD7-4F1E-88DB-4A7C0E6C896E}"/>
    <hyperlink ref="H182" r:id="rId84" xr:uid="{DE365510-A618-4A8C-8AB8-C9002A7EE30F}"/>
    <hyperlink ref="A182" r:id="rId85" xr:uid="{012E84C0-B51F-497E-A965-D377FACE1F2B}"/>
    <hyperlink ref="G182" r:id="rId86" xr:uid="{A36126FA-B1A9-4E09-BBDC-8B97DC40B7C8}"/>
    <hyperlink ref="H52" r:id="rId87" xr:uid="{5FCF4B9B-989B-4DFC-95B7-617037AD97B5}"/>
    <hyperlink ref="A52" r:id="rId88" xr:uid="{253D17F8-6813-49CB-8199-02BE0660F67F}"/>
    <hyperlink ref="G52" r:id="rId89" xr:uid="{6EA3E9BB-1A89-48EF-9F01-9C32D41CF11D}"/>
    <hyperlink ref="H134" r:id="rId90" xr:uid="{29051D19-0367-416D-A144-DCBE58F2AF1C}"/>
    <hyperlink ref="A134" r:id="rId91" xr:uid="{DC45798D-F253-4754-B374-00E51E538A4A}"/>
    <hyperlink ref="G134" r:id="rId92" xr:uid="{987AE144-8167-4092-9FFF-63D35065D7B9}"/>
    <hyperlink ref="H172" r:id="rId93" xr:uid="{F42C9E9C-DDEE-4F8B-AE20-FA916491E592}"/>
    <hyperlink ref="A172" r:id="rId94" display="Zeus Marble Mat" xr:uid="{C5214B12-7CE3-4084-972E-C6A3E148967A}"/>
    <hyperlink ref="G172" r:id="rId95" xr:uid="{CA3E06A6-6A0B-45A8-9F77-9562A4FBDBAE}"/>
  </hyperlinks>
  <pageMargins left="0.51181102362204722" right="0.51181102362204722" top="0.35433070866141736" bottom="0.35433070866141736" header="0.11811023622047245" footer="0.11811023622047245"/>
  <pageSetup paperSize="9" fitToHeight="0" orientation="landscape" r:id="rId96"/>
  <headerFooter>
    <oddFooter>&amp;R&amp;P van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BED6-F06D-49DF-801B-3B8C0D49D65B}">
  <dimension ref="A1:W863"/>
  <sheetViews>
    <sheetView tabSelected="1" topLeftCell="D1" zoomScale="55" zoomScaleNormal="55" workbookViewId="0">
      <selection activeCell="V17" sqref="V17"/>
    </sheetView>
  </sheetViews>
  <sheetFormatPr defaultRowHeight="26.5" x14ac:dyDescent="0.85"/>
  <cols>
    <col min="1" max="1" width="19.0546875" bestFit="1" customWidth="1"/>
    <col min="2" max="2" width="28.38671875" bestFit="1" customWidth="1"/>
    <col min="3" max="3" width="25.5" bestFit="1" customWidth="1"/>
    <col min="4" max="4" width="11.1640625" bestFit="1" customWidth="1"/>
    <col min="5" max="5" width="8.21875" bestFit="1" customWidth="1"/>
    <col min="6" max="6" width="25.0546875" customWidth="1"/>
    <col min="7" max="7" width="14.5" bestFit="1" customWidth="1"/>
    <col min="8" max="8" width="15.71875" bestFit="1" customWidth="1"/>
    <col min="9" max="9" width="15.0546875" bestFit="1" customWidth="1"/>
    <col min="10" max="10" width="19.5" bestFit="1" customWidth="1"/>
    <col min="11" max="11" width="10.71875" bestFit="1" customWidth="1"/>
    <col min="12" max="12" width="11.1640625" bestFit="1" customWidth="1"/>
    <col min="13" max="13" width="11.5546875" bestFit="1" customWidth="1"/>
    <col min="14" max="14" width="14.21875" bestFit="1" customWidth="1"/>
    <col min="15" max="15" width="18" bestFit="1" customWidth="1"/>
    <col min="16" max="16" width="23.21875" bestFit="1" customWidth="1"/>
    <col min="17" max="17" width="20.71875" bestFit="1" customWidth="1"/>
    <col min="18" max="18" width="12.38671875" bestFit="1" customWidth="1"/>
    <col min="19" max="19" width="15.88671875" customWidth="1"/>
    <col min="20" max="20" width="9.5" bestFit="1" customWidth="1"/>
  </cols>
  <sheetData>
    <row r="1" spans="1:23" ht="79.5" x14ac:dyDescent="0.85">
      <c r="A1" s="426" t="s">
        <v>322</v>
      </c>
      <c r="B1" s="426" t="s">
        <v>745</v>
      </c>
      <c r="C1" s="427" t="s">
        <v>747</v>
      </c>
      <c r="D1" s="427" t="s">
        <v>782</v>
      </c>
      <c r="E1" s="427" t="s">
        <v>748</v>
      </c>
      <c r="F1" s="428" t="s">
        <v>746</v>
      </c>
      <c r="G1" s="428" t="s">
        <v>749</v>
      </c>
      <c r="H1" s="428" t="s">
        <v>750</v>
      </c>
      <c r="I1" s="428" t="s">
        <v>756</v>
      </c>
      <c r="J1" s="428" t="s">
        <v>783</v>
      </c>
      <c r="K1" s="427" t="s">
        <v>753</v>
      </c>
      <c r="L1" s="427" t="s">
        <v>754</v>
      </c>
      <c r="M1" s="427" t="s">
        <v>568</v>
      </c>
      <c r="N1" s="427" t="s">
        <v>755</v>
      </c>
      <c r="O1" s="428" t="s">
        <v>751</v>
      </c>
      <c r="P1" s="428" t="s">
        <v>325</v>
      </c>
      <c r="Q1" s="427" t="s">
        <v>752</v>
      </c>
      <c r="R1" s="427" t="s">
        <v>781</v>
      </c>
      <c r="S1" s="447" t="s">
        <v>784</v>
      </c>
      <c r="T1" s="447" t="s">
        <v>785</v>
      </c>
      <c r="W1" s="446">
        <f>-1+SUBTOTAL(103,R:R)</f>
        <v>862</v>
      </c>
    </row>
    <row r="2" spans="1:23" ht="27" thickBot="1" x14ac:dyDescent="0.9">
      <c r="A2" s="90"/>
      <c r="B2" s="90"/>
      <c r="C2" s="340"/>
      <c r="D2" s="340"/>
      <c r="E2" s="340"/>
      <c r="F2" s="341" t="s">
        <v>324</v>
      </c>
      <c r="G2" s="341"/>
      <c r="H2" s="321"/>
      <c r="I2" s="321"/>
      <c r="M2" s="342"/>
      <c r="N2" s="343"/>
      <c r="O2" s="344"/>
      <c r="P2" s="323"/>
      <c r="Q2" s="340"/>
      <c r="R2" t="str">
        <f>IF(ISNUMBER(Table3[[#This Row],[Thickness]]), "Zenith", "")</f>
        <v/>
      </c>
    </row>
    <row r="3" spans="1:23" ht="27.5" thickTop="1" thickBot="1" x14ac:dyDescent="0.9">
      <c r="A3" s="91"/>
      <c r="B3" s="294"/>
      <c r="C3" s="227"/>
      <c r="D3" s="227"/>
      <c r="E3" s="227"/>
      <c r="F3" s="225" t="s">
        <v>203</v>
      </c>
      <c r="G3" s="225"/>
      <c r="H3" s="226"/>
      <c r="I3" s="322"/>
      <c r="M3" s="229"/>
      <c r="N3" s="230"/>
      <c r="O3" s="226"/>
      <c r="P3" s="226"/>
      <c r="Q3" s="228" t="s">
        <v>323</v>
      </c>
      <c r="R3" t="str">
        <f>IF(ISNUMBER(Table3[[#This Row],[Thickness]]), "Zenith", "")</f>
        <v/>
      </c>
    </row>
    <row r="4" spans="1:23" ht="54" thickTop="1" thickBot="1" x14ac:dyDescent="0.9">
      <c r="A4" s="92" t="s">
        <v>322</v>
      </c>
      <c r="B4" s="293"/>
      <c r="C4" s="224" t="s">
        <v>179</v>
      </c>
      <c r="D4" s="311"/>
      <c r="E4" s="311"/>
      <c r="F4" s="222" t="s">
        <v>320</v>
      </c>
      <c r="G4" s="222"/>
      <c r="H4" s="223"/>
      <c r="I4" s="320"/>
      <c r="M4" s="231"/>
      <c r="N4" s="233"/>
      <c r="O4" s="223" t="s">
        <v>171</v>
      </c>
      <c r="P4" s="223" t="s">
        <v>325</v>
      </c>
      <c r="Q4" s="224" t="s">
        <v>199</v>
      </c>
      <c r="R4" t="str">
        <f>IF(ISNUMBER(Table3[[#This Row],[Thickness]]), "Zenith", "")</f>
        <v/>
      </c>
    </row>
    <row r="5" spans="1:23" ht="27" thickTop="1" x14ac:dyDescent="0.85">
      <c r="A5" s="429" t="s">
        <v>166</v>
      </c>
      <c r="B5" s="429" t="s">
        <v>203</v>
      </c>
      <c r="C5" s="430">
        <v>8</v>
      </c>
      <c r="D5" s="430"/>
      <c r="E5" s="430" t="s">
        <v>757</v>
      </c>
      <c r="F5" s="431">
        <v>1</v>
      </c>
      <c r="G5" s="431">
        <v>1400</v>
      </c>
      <c r="H5" s="431">
        <v>10000</v>
      </c>
      <c r="I5" s="431" t="s">
        <v>777</v>
      </c>
      <c r="J5" s="432" t="s">
        <v>0</v>
      </c>
      <c r="K5" s="432">
        <v>-30</v>
      </c>
      <c r="L5" s="432">
        <v>70</v>
      </c>
      <c r="M5" s="432" t="s">
        <v>577</v>
      </c>
      <c r="N5" s="432">
        <v>70</v>
      </c>
      <c r="O5" s="431" t="s">
        <v>168</v>
      </c>
      <c r="P5" s="431" t="s">
        <v>168</v>
      </c>
      <c r="Q5" s="430">
        <f>C5*((100-Discounts!$B$6)/100)</f>
        <v>3.2</v>
      </c>
      <c r="R5" t="str">
        <f>IF(ISNUMBER(Table3[[#This Row],[Thickness]]), "Zenith", "")</f>
        <v>Zenith</v>
      </c>
      <c r="S5">
        <v>3</v>
      </c>
      <c r="T5">
        <v>200</v>
      </c>
    </row>
    <row r="6" spans="1:23" x14ac:dyDescent="0.85">
      <c r="A6" s="433" t="s">
        <v>166</v>
      </c>
      <c r="B6" s="429" t="s">
        <v>203</v>
      </c>
      <c r="C6" s="434">
        <v>8</v>
      </c>
      <c r="D6" s="434"/>
      <c r="E6" s="430" t="s">
        <v>757</v>
      </c>
      <c r="F6" s="435">
        <v>1</v>
      </c>
      <c r="G6" s="435">
        <v>1400</v>
      </c>
      <c r="H6" s="435">
        <v>20000</v>
      </c>
      <c r="I6" s="431" t="s">
        <v>777</v>
      </c>
      <c r="J6" s="432" t="s">
        <v>0</v>
      </c>
      <c r="K6" s="432">
        <v>-30</v>
      </c>
      <c r="L6" s="432">
        <v>70</v>
      </c>
      <c r="M6" s="436" t="s">
        <v>577</v>
      </c>
      <c r="N6" s="432">
        <v>70</v>
      </c>
      <c r="O6" s="435" t="s">
        <v>168</v>
      </c>
      <c r="P6" s="435" t="s">
        <v>168</v>
      </c>
      <c r="Q6" s="434">
        <f>C6*((100-Discounts!$B$6)/100)</f>
        <v>3.2</v>
      </c>
      <c r="R6" t="str">
        <f>IF(ISNUMBER(Table3[[#This Row],[Thickness]]), "Zenith", "")</f>
        <v>Zenith</v>
      </c>
      <c r="S6">
        <v>3</v>
      </c>
      <c r="T6">
        <v>200</v>
      </c>
    </row>
    <row r="7" spans="1:23" x14ac:dyDescent="0.85">
      <c r="A7" s="429" t="s">
        <v>68</v>
      </c>
      <c r="B7" s="429" t="s">
        <v>203</v>
      </c>
      <c r="C7" s="430">
        <v>9.5</v>
      </c>
      <c r="D7" s="430"/>
      <c r="E7" s="430" t="s">
        <v>757</v>
      </c>
      <c r="F7" s="431">
        <v>1.5</v>
      </c>
      <c r="G7" s="431">
        <v>1400</v>
      </c>
      <c r="H7" s="431">
        <v>15000</v>
      </c>
      <c r="I7" s="431" t="s">
        <v>777</v>
      </c>
      <c r="J7" s="432" t="s">
        <v>0</v>
      </c>
      <c r="K7" s="432">
        <v>-30</v>
      </c>
      <c r="L7" s="432">
        <v>70</v>
      </c>
      <c r="M7" s="432" t="s">
        <v>577</v>
      </c>
      <c r="N7" s="432">
        <v>70</v>
      </c>
      <c r="O7" s="431" t="s">
        <v>168</v>
      </c>
      <c r="P7" s="431" t="s">
        <v>168</v>
      </c>
      <c r="Q7" s="430">
        <f>C7*((100-Discounts!$B$6)/100)</f>
        <v>3.8000000000000003</v>
      </c>
      <c r="R7" t="str">
        <f>IF(ISNUMBER(Table3[[#This Row],[Thickness]]), "Zenith", "")</f>
        <v>Zenith</v>
      </c>
      <c r="S7">
        <v>3</v>
      </c>
      <c r="T7">
        <v>200</v>
      </c>
    </row>
    <row r="8" spans="1:23" x14ac:dyDescent="0.85">
      <c r="A8" s="433" t="s">
        <v>68</v>
      </c>
      <c r="B8" s="429" t="s">
        <v>203</v>
      </c>
      <c r="C8" s="434">
        <v>9.5</v>
      </c>
      <c r="D8" s="434"/>
      <c r="E8" s="430" t="s">
        <v>757</v>
      </c>
      <c r="F8" s="435">
        <v>1.5</v>
      </c>
      <c r="G8" s="435">
        <v>1500</v>
      </c>
      <c r="H8" s="435">
        <v>15000</v>
      </c>
      <c r="I8" s="431" t="s">
        <v>777</v>
      </c>
      <c r="J8" s="432" t="s">
        <v>0</v>
      </c>
      <c r="K8" s="432">
        <v>-30</v>
      </c>
      <c r="L8" s="432">
        <v>70</v>
      </c>
      <c r="M8" s="436" t="s">
        <v>577</v>
      </c>
      <c r="N8" s="432">
        <v>70</v>
      </c>
      <c r="O8" s="435" t="s">
        <v>168</v>
      </c>
      <c r="P8" s="435" t="s">
        <v>168</v>
      </c>
      <c r="Q8" s="434">
        <f>C8*((100-Discounts!$B$6)/100)</f>
        <v>3.8000000000000003</v>
      </c>
      <c r="R8" t="str">
        <f>IF(ISNUMBER(Table3[[#This Row],[Thickness]]), "Zenith", "")</f>
        <v>Zenith</v>
      </c>
      <c r="S8">
        <v>3</v>
      </c>
      <c r="T8">
        <v>200</v>
      </c>
    </row>
    <row r="9" spans="1:23" x14ac:dyDescent="0.85">
      <c r="A9" s="429" t="s">
        <v>69</v>
      </c>
      <c r="B9" s="429" t="s">
        <v>203</v>
      </c>
      <c r="C9" s="430">
        <v>12</v>
      </c>
      <c r="D9" s="430"/>
      <c r="E9" s="430" t="s">
        <v>757</v>
      </c>
      <c r="F9" s="431">
        <v>2</v>
      </c>
      <c r="G9" s="431">
        <v>1200</v>
      </c>
      <c r="H9" s="431">
        <v>10000</v>
      </c>
      <c r="I9" s="431" t="s">
        <v>777</v>
      </c>
      <c r="J9" s="432" t="s">
        <v>0</v>
      </c>
      <c r="K9" s="432">
        <v>-30</v>
      </c>
      <c r="L9" s="432">
        <v>70</v>
      </c>
      <c r="M9" s="432" t="s">
        <v>577</v>
      </c>
      <c r="N9" s="432">
        <v>70</v>
      </c>
      <c r="O9" s="431" t="s">
        <v>168</v>
      </c>
      <c r="P9" s="431" t="s">
        <v>168</v>
      </c>
      <c r="Q9" s="430">
        <f>C9*((100-Discounts!$B$6)/100)</f>
        <v>4.8000000000000007</v>
      </c>
      <c r="R9" t="str">
        <f>IF(ISNUMBER(Table3[[#This Row],[Thickness]]), "Zenith", "")</f>
        <v>Zenith</v>
      </c>
      <c r="S9">
        <v>3</v>
      </c>
      <c r="T9">
        <v>200</v>
      </c>
    </row>
    <row r="10" spans="1:23" x14ac:dyDescent="0.85">
      <c r="A10" s="433" t="s">
        <v>69</v>
      </c>
      <c r="B10" s="429" t="s">
        <v>203</v>
      </c>
      <c r="C10" s="434">
        <v>12</v>
      </c>
      <c r="D10" s="434"/>
      <c r="E10" s="430" t="s">
        <v>757</v>
      </c>
      <c r="F10" s="435">
        <v>2</v>
      </c>
      <c r="G10" s="435">
        <v>1400</v>
      </c>
      <c r="H10" s="435">
        <v>10000</v>
      </c>
      <c r="I10" s="431" t="s">
        <v>777</v>
      </c>
      <c r="J10" s="432" t="s">
        <v>0</v>
      </c>
      <c r="K10" s="432">
        <v>-30</v>
      </c>
      <c r="L10" s="432">
        <v>70</v>
      </c>
      <c r="M10" s="436" t="s">
        <v>577</v>
      </c>
      <c r="N10" s="432">
        <v>70</v>
      </c>
      <c r="O10" s="435" t="s">
        <v>168</v>
      </c>
      <c r="P10" s="435" t="s">
        <v>168</v>
      </c>
      <c r="Q10" s="434">
        <f>C10*((100-Discounts!$B$6)/100)</f>
        <v>4.8000000000000007</v>
      </c>
      <c r="R10" t="str">
        <f>IF(ISNUMBER(Table3[[#This Row],[Thickness]]), "Zenith", "")</f>
        <v>Zenith</v>
      </c>
      <c r="S10">
        <v>3</v>
      </c>
      <c r="T10">
        <v>200</v>
      </c>
    </row>
    <row r="11" spans="1:23" x14ac:dyDescent="0.85">
      <c r="A11" s="429" t="s">
        <v>69</v>
      </c>
      <c r="B11" s="429" t="s">
        <v>203</v>
      </c>
      <c r="C11" s="430">
        <v>12</v>
      </c>
      <c r="D11" s="430"/>
      <c r="E11" s="430" t="s">
        <v>757</v>
      </c>
      <c r="F11" s="431">
        <v>2</v>
      </c>
      <c r="G11" s="431">
        <v>1400</v>
      </c>
      <c r="H11" s="431">
        <v>20000</v>
      </c>
      <c r="I11" s="431" t="s">
        <v>777</v>
      </c>
      <c r="J11" s="432" t="s">
        <v>0</v>
      </c>
      <c r="K11" s="432">
        <v>-30</v>
      </c>
      <c r="L11" s="432">
        <v>70</v>
      </c>
      <c r="M11" s="432" t="s">
        <v>577</v>
      </c>
      <c r="N11" s="432">
        <v>70</v>
      </c>
      <c r="O11" s="431" t="s">
        <v>168</v>
      </c>
      <c r="P11" s="431" t="s">
        <v>168</v>
      </c>
      <c r="Q11" s="430">
        <f>C11*((100-Discounts!$B$6)/100)</f>
        <v>4.8000000000000007</v>
      </c>
      <c r="R11" t="str">
        <f>IF(ISNUMBER(Table3[[#This Row],[Thickness]]), "Zenith", "")</f>
        <v>Zenith</v>
      </c>
      <c r="S11">
        <v>3</v>
      </c>
      <c r="T11">
        <v>200</v>
      </c>
    </row>
    <row r="12" spans="1:23" x14ac:dyDescent="0.85">
      <c r="A12" s="433" t="s">
        <v>70</v>
      </c>
      <c r="B12" s="429" t="s">
        <v>203</v>
      </c>
      <c r="C12" s="434">
        <v>17.25</v>
      </c>
      <c r="D12" s="434"/>
      <c r="E12" s="430" t="s">
        <v>757</v>
      </c>
      <c r="F12" s="435">
        <v>3</v>
      </c>
      <c r="G12" s="435">
        <v>1200</v>
      </c>
      <c r="H12" s="435">
        <v>10000</v>
      </c>
      <c r="I12" s="431" t="s">
        <v>777</v>
      </c>
      <c r="J12" s="432" t="s">
        <v>0</v>
      </c>
      <c r="K12" s="432">
        <v>-30</v>
      </c>
      <c r="L12" s="432">
        <v>70</v>
      </c>
      <c r="M12" s="436" t="s">
        <v>577</v>
      </c>
      <c r="N12" s="432">
        <v>70</v>
      </c>
      <c r="O12" s="435" t="s">
        <v>168</v>
      </c>
      <c r="P12" s="435" t="s">
        <v>168</v>
      </c>
      <c r="Q12" s="434">
        <f>C12*((100-Discounts!$B$6)/100)</f>
        <v>6.9</v>
      </c>
      <c r="R12" t="str">
        <f>IF(ISNUMBER(Table3[[#This Row],[Thickness]]), "Zenith", "")</f>
        <v>Zenith</v>
      </c>
      <c r="S12">
        <v>3</v>
      </c>
      <c r="T12">
        <v>200</v>
      </c>
    </row>
    <row r="13" spans="1:23" x14ac:dyDescent="0.85">
      <c r="A13" s="429" t="s">
        <v>70</v>
      </c>
      <c r="B13" s="429" t="s">
        <v>203</v>
      </c>
      <c r="C13" s="430">
        <v>17.25</v>
      </c>
      <c r="D13" s="430"/>
      <c r="E13" s="430" t="s">
        <v>757</v>
      </c>
      <c r="F13" s="431">
        <v>3</v>
      </c>
      <c r="G13" s="431">
        <v>1400</v>
      </c>
      <c r="H13" s="431">
        <v>10000</v>
      </c>
      <c r="I13" s="431" t="s">
        <v>777</v>
      </c>
      <c r="J13" s="432" t="s">
        <v>0</v>
      </c>
      <c r="K13" s="432">
        <v>-30</v>
      </c>
      <c r="L13" s="432">
        <v>70</v>
      </c>
      <c r="M13" s="432" t="s">
        <v>577</v>
      </c>
      <c r="N13" s="432">
        <v>70</v>
      </c>
      <c r="O13" s="431" t="s">
        <v>168</v>
      </c>
      <c r="P13" s="431" t="s">
        <v>168</v>
      </c>
      <c r="Q13" s="430">
        <f>C13*((100-Discounts!$B$6)/100)</f>
        <v>6.9</v>
      </c>
      <c r="R13" t="str">
        <f>IF(ISNUMBER(Table3[[#This Row],[Thickness]]), "Zenith", "")</f>
        <v>Zenith</v>
      </c>
      <c r="S13">
        <v>3</v>
      </c>
      <c r="T13">
        <v>200</v>
      </c>
    </row>
    <row r="14" spans="1:23" x14ac:dyDescent="0.85">
      <c r="A14" s="433" t="s">
        <v>70</v>
      </c>
      <c r="B14" s="429" t="s">
        <v>203</v>
      </c>
      <c r="C14" s="434">
        <v>17.25</v>
      </c>
      <c r="D14" s="434"/>
      <c r="E14" s="430" t="s">
        <v>757</v>
      </c>
      <c r="F14" s="435">
        <v>3</v>
      </c>
      <c r="G14" s="435">
        <v>1400</v>
      </c>
      <c r="H14" s="435">
        <v>20000</v>
      </c>
      <c r="I14" s="431" t="s">
        <v>777</v>
      </c>
      <c r="J14" s="432" t="s">
        <v>0</v>
      </c>
      <c r="K14" s="432">
        <v>-30</v>
      </c>
      <c r="L14" s="432">
        <v>70</v>
      </c>
      <c r="M14" s="436" t="s">
        <v>577</v>
      </c>
      <c r="N14" s="432">
        <v>70</v>
      </c>
      <c r="O14" s="435" t="s">
        <v>168</v>
      </c>
      <c r="P14" s="435" t="s">
        <v>168</v>
      </c>
      <c r="Q14" s="434">
        <f>C14*((100-Discounts!$B$6)/100)</f>
        <v>6.9</v>
      </c>
      <c r="R14" t="str">
        <f>IF(ISNUMBER(Table3[[#This Row],[Thickness]]), "Zenith", "")</f>
        <v>Zenith</v>
      </c>
      <c r="S14">
        <v>3</v>
      </c>
      <c r="T14">
        <v>200</v>
      </c>
    </row>
    <row r="15" spans="1:23" x14ac:dyDescent="0.85">
      <c r="A15" s="429" t="s">
        <v>70</v>
      </c>
      <c r="B15" s="429" t="s">
        <v>203</v>
      </c>
      <c r="C15" s="430">
        <v>17.25</v>
      </c>
      <c r="D15" s="430"/>
      <c r="E15" s="430" t="s">
        <v>757</v>
      </c>
      <c r="F15" s="431">
        <v>3</v>
      </c>
      <c r="G15" s="431">
        <v>1800</v>
      </c>
      <c r="H15" s="431">
        <v>10000</v>
      </c>
      <c r="I15" s="431" t="s">
        <v>777</v>
      </c>
      <c r="J15" s="432" t="s">
        <v>0</v>
      </c>
      <c r="K15" s="432">
        <v>-30</v>
      </c>
      <c r="L15" s="432">
        <v>70</v>
      </c>
      <c r="M15" s="432" t="s">
        <v>577</v>
      </c>
      <c r="N15" s="432">
        <v>70</v>
      </c>
      <c r="O15" s="431" t="s">
        <v>168</v>
      </c>
      <c r="P15" s="431" t="s">
        <v>168</v>
      </c>
      <c r="Q15" s="430">
        <f>C15*((100-Discounts!$B$6)/100)</f>
        <v>6.9</v>
      </c>
      <c r="R15" t="str">
        <f>IF(ISNUMBER(Table3[[#This Row],[Thickness]]), "Zenith", "")</f>
        <v>Zenith</v>
      </c>
      <c r="S15">
        <v>3</v>
      </c>
      <c r="T15">
        <v>200</v>
      </c>
    </row>
    <row r="16" spans="1:23" x14ac:dyDescent="0.85">
      <c r="A16" s="433" t="s">
        <v>75</v>
      </c>
      <c r="B16" s="429" t="s">
        <v>203</v>
      </c>
      <c r="C16" s="434">
        <v>22.75</v>
      </c>
      <c r="D16" s="434"/>
      <c r="E16" s="430" t="s">
        <v>757</v>
      </c>
      <c r="F16" s="435">
        <v>4</v>
      </c>
      <c r="G16" s="435">
        <v>1200</v>
      </c>
      <c r="H16" s="435">
        <v>10000</v>
      </c>
      <c r="I16" s="431" t="s">
        <v>777</v>
      </c>
      <c r="J16" s="432" t="s">
        <v>0</v>
      </c>
      <c r="K16" s="432">
        <v>-30</v>
      </c>
      <c r="L16" s="432">
        <v>70</v>
      </c>
      <c r="M16" s="436" t="s">
        <v>577</v>
      </c>
      <c r="N16" s="432">
        <v>70</v>
      </c>
      <c r="O16" s="435" t="s">
        <v>168</v>
      </c>
      <c r="P16" s="435" t="s">
        <v>168</v>
      </c>
      <c r="Q16" s="434">
        <f>C16*((100-Discounts!$B$6)/100)</f>
        <v>9.1</v>
      </c>
      <c r="R16" t="str">
        <f>IF(ISNUMBER(Table3[[#This Row],[Thickness]]), "Zenith", "")</f>
        <v>Zenith</v>
      </c>
      <c r="S16">
        <v>3</v>
      </c>
      <c r="T16">
        <v>200</v>
      </c>
    </row>
    <row r="17" spans="1:20" x14ac:dyDescent="0.85">
      <c r="A17" s="429" t="s">
        <v>75</v>
      </c>
      <c r="B17" s="429" t="s">
        <v>203</v>
      </c>
      <c r="C17" s="430">
        <v>22.75</v>
      </c>
      <c r="D17" s="430"/>
      <c r="E17" s="430" t="s">
        <v>757</v>
      </c>
      <c r="F17" s="431">
        <v>4</v>
      </c>
      <c r="G17" s="431">
        <v>1400</v>
      </c>
      <c r="H17" s="431">
        <v>10000</v>
      </c>
      <c r="I17" s="431" t="s">
        <v>777</v>
      </c>
      <c r="J17" s="432" t="s">
        <v>0</v>
      </c>
      <c r="K17" s="432">
        <v>-30</v>
      </c>
      <c r="L17" s="432">
        <v>70</v>
      </c>
      <c r="M17" s="432" t="s">
        <v>577</v>
      </c>
      <c r="N17" s="432">
        <v>70</v>
      </c>
      <c r="O17" s="431" t="s">
        <v>168</v>
      </c>
      <c r="P17" s="431" t="s">
        <v>168</v>
      </c>
      <c r="Q17" s="430">
        <f>C17*((100-Discounts!$B$6)/100)</f>
        <v>9.1</v>
      </c>
      <c r="R17" t="str">
        <f>IF(ISNUMBER(Table3[[#This Row],[Thickness]]), "Zenith", "")</f>
        <v>Zenith</v>
      </c>
      <c r="S17">
        <v>3</v>
      </c>
      <c r="T17">
        <v>200</v>
      </c>
    </row>
    <row r="18" spans="1:20" x14ac:dyDescent="0.85">
      <c r="A18" s="433" t="s">
        <v>76</v>
      </c>
      <c r="B18" s="429" t="s">
        <v>203</v>
      </c>
      <c r="C18" s="434">
        <v>28.25</v>
      </c>
      <c r="D18" s="434"/>
      <c r="E18" s="430" t="s">
        <v>757</v>
      </c>
      <c r="F18" s="435">
        <v>5</v>
      </c>
      <c r="G18" s="435">
        <v>1200</v>
      </c>
      <c r="H18" s="435">
        <v>10000</v>
      </c>
      <c r="I18" s="431" t="s">
        <v>777</v>
      </c>
      <c r="J18" s="432" t="s">
        <v>0</v>
      </c>
      <c r="K18" s="432">
        <v>-30</v>
      </c>
      <c r="L18" s="432">
        <v>70</v>
      </c>
      <c r="M18" s="436" t="s">
        <v>577</v>
      </c>
      <c r="N18" s="432">
        <v>70</v>
      </c>
      <c r="O18" s="435" t="s">
        <v>168</v>
      </c>
      <c r="P18" s="435" t="s">
        <v>168</v>
      </c>
      <c r="Q18" s="434">
        <f>C18*((100-Discounts!$B$6)/100)</f>
        <v>11.3</v>
      </c>
      <c r="R18" t="str">
        <f>IF(ISNUMBER(Table3[[#This Row],[Thickness]]), "Zenith", "")</f>
        <v>Zenith</v>
      </c>
      <c r="S18">
        <v>3</v>
      </c>
      <c r="T18">
        <v>200</v>
      </c>
    </row>
    <row r="19" spans="1:20" x14ac:dyDescent="0.85">
      <c r="A19" s="429" t="s">
        <v>76</v>
      </c>
      <c r="B19" s="429" t="s">
        <v>203</v>
      </c>
      <c r="C19" s="430">
        <v>28.25</v>
      </c>
      <c r="D19" s="430"/>
      <c r="E19" s="430" t="s">
        <v>757</v>
      </c>
      <c r="F19" s="431">
        <v>5</v>
      </c>
      <c r="G19" s="431">
        <v>1400</v>
      </c>
      <c r="H19" s="431">
        <v>10000</v>
      </c>
      <c r="I19" s="431" t="s">
        <v>777</v>
      </c>
      <c r="J19" s="432" t="s">
        <v>0</v>
      </c>
      <c r="K19" s="432">
        <v>-30</v>
      </c>
      <c r="L19" s="432">
        <v>70</v>
      </c>
      <c r="M19" s="432" t="s">
        <v>577</v>
      </c>
      <c r="N19" s="432">
        <v>70</v>
      </c>
      <c r="O19" s="431" t="s">
        <v>168</v>
      </c>
      <c r="P19" s="431" t="s">
        <v>168</v>
      </c>
      <c r="Q19" s="430">
        <f>C19*((100-Discounts!$B$6)/100)</f>
        <v>11.3</v>
      </c>
      <c r="R19" t="str">
        <f>IF(ISNUMBER(Table3[[#This Row],[Thickness]]), "Zenith", "")</f>
        <v>Zenith</v>
      </c>
      <c r="S19">
        <v>3</v>
      </c>
      <c r="T19">
        <v>200</v>
      </c>
    </row>
    <row r="20" spans="1:20" x14ac:dyDescent="0.85">
      <c r="A20" s="433" t="s">
        <v>79</v>
      </c>
      <c r="B20" s="429" t="s">
        <v>203</v>
      </c>
      <c r="C20" s="434">
        <v>33.75</v>
      </c>
      <c r="D20" s="434"/>
      <c r="E20" s="430" t="s">
        <v>757</v>
      </c>
      <c r="F20" s="435">
        <v>6</v>
      </c>
      <c r="G20" s="435">
        <v>1200</v>
      </c>
      <c r="H20" s="435">
        <v>10000</v>
      </c>
      <c r="I20" s="431" t="s">
        <v>777</v>
      </c>
      <c r="J20" s="432" t="s">
        <v>0</v>
      </c>
      <c r="K20" s="432">
        <v>-30</v>
      </c>
      <c r="L20" s="432">
        <v>70</v>
      </c>
      <c r="M20" s="436" t="s">
        <v>577</v>
      </c>
      <c r="N20" s="432">
        <v>70</v>
      </c>
      <c r="O20" s="435" t="s">
        <v>168</v>
      </c>
      <c r="P20" s="435" t="s">
        <v>168</v>
      </c>
      <c r="Q20" s="434">
        <f>C20*((100-Discounts!$B$6)/100)</f>
        <v>13.5</v>
      </c>
      <c r="R20" t="str">
        <f>IF(ISNUMBER(Table3[[#This Row],[Thickness]]), "Zenith", "")</f>
        <v>Zenith</v>
      </c>
      <c r="S20">
        <v>3</v>
      </c>
      <c r="T20">
        <v>200</v>
      </c>
    </row>
    <row r="21" spans="1:20" x14ac:dyDescent="0.85">
      <c r="A21" s="429" t="s">
        <v>79</v>
      </c>
      <c r="B21" s="429" t="s">
        <v>203</v>
      </c>
      <c r="C21" s="430">
        <v>33.75</v>
      </c>
      <c r="D21" s="430"/>
      <c r="E21" s="430" t="s">
        <v>757</v>
      </c>
      <c r="F21" s="431">
        <v>6</v>
      </c>
      <c r="G21" s="431">
        <v>1400</v>
      </c>
      <c r="H21" s="431">
        <v>10000</v>
      </c>
      <c r="I21" s="431" t="s">
        <v>777</v>
      </c>
      <c r="J21" s="432" t="s">
        <v>0</v>
      </c>
      <c r="K21" s="432">
        <v>-30</v>
      </c>
      <c r="L21" s="432">
        <v>70</v>
      </c>
      <c r="M21" s="432" t="s">
        <v>577</v>
      </c>
      <c r="N21" s="432">
        <v>70</v>
      </c>
      <c r="O21" s="431" t="s">
        <v>168</v>
      </c>
      <c r="P21" s="431" t="s">
        <v>168</v>
      </c>
      <c r="Q21" s="430">
        <f>C21*((100-Discounts!$B$6)/100)</f>
        <v>13.5</v>
      </c>
      <c r="R21" t="str">
        <f>IF(ISNUMBER(Table3[[#This Row],[Thickness]]), "Zenith", "")</f>
        <v>Zenith</v>
      </c>
      <c r="S21">
        <v>3</v>
      </c>
      <c r="T21">
        <v>200</v>
      </c>
    </row>
    <row r="22" spans="1:20" x14ac:dyDescent="0.85">
      <c r="A22" s="433" t="s">
        <v>82</v>
      </c>
      <c r="B22" s="429" t="s">
        <v>203</v>
      </c>
      <c r="C22" s="434">
        <v>44.5</v>
      </c>
      <c r="D22" s="434"/>
      <c r="E22" s="430" t="s">
        <v>757</v>
      </c>
      <c r="F22" s="435">
        <v>8</v>
      </c>
      <c r="G22" s="435">
        <v>1200</v>
      </c>
      <c r="H22" s="435">
        <v>10000</v>
      </c>
      <c r="I22" s="431" t="s">
        <v>777</v>
      </c>
      <c r="J22" s="432" t="s">
        <v>0</v>
      </c>
      <c r="K22" s="432">
        <v>-30</v>
      </c>
      <c r="L22" s="432">
        <v>70</v>
      </c>
      <c r="M22" s="436" t="s">
        <v>577</v>
      </c>
      <c r="N22" s="432">
        <v>70</v>
      </c>
      <c r="O22" s="435" t="s">
        <v>168</v>
      </c>
      <c r="P22" s="435" t="s">
        <v>168</v>
      </c>
      <c r="Q22" s="434">
        <f>C22*((100-Discounts!$B$6)/100)</f>
        <v>17.8</v>
      </c>
      <c r="R22" t="str">
        <f>IF(ISNUMBER(Table3[[#This Row],[Thickness]]), "Zenith", "")</f>
        <v>Zenith</v>
      </c>
      <c r="S22">
        <v>3</v>
      </c>
      <c r="T22">
        <v>200</v>
      </c>
    </row>
    <row r="23" spans="1:20" x14ac:dyDescent="0.85">
      <c r="A23" s="429" t="s">
        <v>82</v>
      </c>
      <c r="B23" s="429" t="s">
        <v>203</v>
      </c>
      <c r="C23" s="430">
        <v>44.5</v>
      </c>
      <c r="D23" s="430"/>
      <c r="E23" s="430" t="s">
        <v>757</v>
      </c>
      <c r="F23" s="431">
        <v>8</v>
      </c>
      <c r="G23" s="431">
        <v>1400</v>
      </c>
      <c r="H23" s="431">
        <v>5000</v>
      </c>
      <c r="I23" s="431" t="s">
        <v>777</v>
      </c>
      <c r="J23" s="432" t="s">
        <v>0</v>
      </c>
      <c r="K23" s="432">
        <v>-30</v>
      </c>
      <c r="L23" s="432">
        <v>70</v>
      </c>
      <c r="M23" s="432" t="s">
        <v>577</v>
      </c>
      <c r="N23" s="432">
        <v>70</v>
      </c>
      <c r="O23" s="431" t="s">
        <v>168</v>
      </c>
      <c r="P23" s="431" t="s">
        <v>168</v>
      </c>
      <c r="Q23" s="430">
        <f>C23*((100-Discounts!$B$6)/100)</f>
        <v>17.8</v>
      </c>
      <c r="R23" t="str">
        <f>IF(ISNUMBER(Table3[[#This Row],[Thickness]]), "Zenith", "")</f>
        <v>Zenith</v>
      </c>
      <c r="S23">
        <v>3</v>
      </c>
      <c r="T23">
        <v>200</v>
      </c>
    </row>
    <row r="24" spans="1:20" x14ac:dyDescent="0.85">
      <c r="A24" s="433" t="s">
        <v>82</v>
      </c>
      <c r="B24" s="429" t="s">
        <v>203</v>
      </c>
      <c r="C24" s="434">
        <v>44.5</v>
      </c>
      <c r="D24" s="434"/>
      <c r="E24" s="430" t="s">
        <v>757</v>
      </c>
      <c r="F24" s="435">
        <v>8</v>
      </c>
      <c r="G24" s="435">
        <v>1400</v>
      </c>
      <c r="H24" s="435">
        <v>10000</v>
      </c>
      <c r="I24" s="431" t="s">
        <v>777</v>
      </c>
      <c r="J24" s="432" t="s">
        <v>0</v>
      </c>
      <c r="K24" s="432">
        <v>-30</v>
      </c>
      <c r="L24" s="432">
        <v>70</v>
      </c>
      <c r="M24" s="436" t="s">
        <v>577</v>
      </c>
      <c r="N24" s="432">
        <v>70</v>
      </c>
      <c r="O24" s="435" t="s">
        <v>168</v>
      </c>
      <c r="P24" s="435" t="s">
        <v>168</v>
      </c>
      <c r="Q24" s="434">
        <f>C24*((100-Discounts!$B$6)/100)</f>
        <v>17.8</v>
      </c>
      <c r="R24" t="str">
        <f>IF(ISNUMBER(Table3[[#This Row],[Thickness]]), "Zenith", "")</f>
        <v>Zenith</v>
      </c>
      <c r="S24">
        <v>3</v>
      </c>
      <c r="T24">
        <v>200</v>
      </c>
    </row>
    <row r="25" spans="1:20" x14ac:dyDescent="0.85">
      <c r="A25" s="429" t="s">
        <v>84</v>
      </c>
      <c r="B25" s="429" t="s">
        <v>203</v>
      </c>
      <c r="C25" s="430">
        <v>55</v>
      </c>
      <c r="D25" s="430"/>
      <c r="E25" s="430" t="s">
        <v>757</v>
      </c>
      <c r="F25" s="431">
        <v>10</v>
      </c>
      <c r="G25" s="431">
        <v>1200</v>
      </c>
      <c r="H25" s="431">
        <v>10000</v>
      </c>
      <c r="I25" s="431" t="s">
        <v>777</v>
      </c>
      <c r="J25" s="432" t="s">
        <v>0</v>
      </c>
      <c r="K25" s="432">
        <v>-30</v>
      </c>
      <c r="L25" s="432">
        <v>70</v>
      </c>
      <c r="M25" s="432" t="s">
        <v>577</v>
      </c>
      <c r="N25" s="432">
        <v>70</v>
      </c>
      <c r="O25" s="431" t="s">
        <v>168</v>
      </c>
      <c r="P25" s="431" t="s">
        <v>168</v>
      </c>
      <c r="Q25" s="430">
        <f>C25*((100-Discounts!$B$6)/100)</f>
        <v>22</v>
      </c>
      <c r="R25" t="str">
        <f>IF(ISNUMBER(Table3[[#This Row],[Thickness]]), "Zenith", "")</f>
        <v>Zenith</v>
      </c>
      <c r="S25">
        <v>3</v>
      </c>
      <c r="T25">
        <v>200</v>
      </c>
    </row>
    <row r="26" spans="1:20" x14ac:dyDescent="0.85">
      <c r="A26" s="433" t="s">
        <v>84</v>
      </c>
      <c r="B26" s="429" t="s">
        <v>203</v>
      </c>
      <c r="C26" s="434">
        <v>55</v>
      </c>
      <c r="D26" s="434"/>
      <c r="E26" s="430" t="s">
        <v>757</v>
      </c>
      <c r="F26" s="435">
        <v>10</v>
      </c>
      <c r="G26" s="435">
        <v>1400</v>
      </c>
      <c r="H26" s="435">
        <v>5000</v>
      </c>
      <c r="I26" s="431" t="s">
        <v>777</v>
      </c>
      <c r="J26" s="432" t="s">
        <v>0</v>
      </c>
      <c r="K26" s="432">
        <v>-30</v>
      </c>
      <c r="L26" s="432">
        <v>70</v>
      </c>
      <c r="M26" s="436" t="s">
        <v>577</v>
      </c>
      <c r="N26" s="432">
        <v>70</v>
      </c>
      <c r="O26" s="435" t="s">
        <v>168</v>
      </c>
      <c r="P26" s="435" t="s">
        <v>168</v>
      </c>
      <c r="Q26" s="434">
        <f>C26*((100-Discounts!$B$6)/100)</f>
        <v>22</v>
      </c>
      <c r="R26" t="str">
        <f>IF(ISNUMBER(Table3[[#This Row],[Thickness]]), "Zenith", "")</f>
        <v>Zenith</v>
      </c>
      <c r="S26">
        <v>3</v>
      </c>
      <c r="T26">
        <v>200</v>
      </c>
    </row>
    <row r="27" spans="1:20" x14ac:dyDescent="0.85">
      <c r="A27" s="429" t="s">
        <v>84</v>
      </c>
      <c r="B27" s="429" t="s">
        <v>203</v>
      </c>
      <c r="C27" s="430">
        <v>55</v>
      </c>
      <c r="D27" s="430"/>
      <c r="E27" s="430" t="s">
        <v>757</v>
      </c>
      <c r="F27" s="431">
        <v>10</v>
      </c>
      <c r="G27" s="431">
        <v>1400</v>
      </c>
      <c r="H27" s="431">
        <v>10000</v>
      </c>
      <c r="I27" s="431" t="s">
        <v>777</v>
      </c>
      <c r="J27" s="432" t="s">
        <v>0</v>
      </c>
      <c r="K27" s="432">
        <v>-30</v>
      </c>
      <c r="L27" s="432">
        <v>70</v>
      </c>
      <c r="M27" s="432" t="s">
        <v>577</v>
      </c>
      <c r="N27" s="432">
        <v>70</v>
      </c>
      <c r="O27" s="431" t="s">
        <v>168</v>
      </c>
      <c r="P27" s="431" t="s">
        <v>168</v>
      </c>
      <c r="Q27" s="430">
        <f>C27*((100-Discounts!$B$6)/100)</f>
        <v>22</v>
      </c>
      <c r="R27" t="str">
        <f>IF(ISNUMBER(Table3[[#This Row],[Thickness]]), "Zenith", "")</f>
        <v>Zenith</v>
      </c>
      <c r="S27">
        <v>3</v>
      </c>
      <c r="T27">
        <v>200</v>
      </c>
    </row>
    <row r="28" spans="1:20" x14ac:dyDescent="0.85">
      <c r="A28" s="433" t="s">
        <v>84</v>
      </c>
      <c r="B28" s="429" t="s">
        <v>203</v>
      </c>
      <c r="C28" s="434">
        <v>55</v>
      </c>
      <c r="D28" s="434"/>
      <c r="E28" s="430" t="s">
        <v>757</v>
      </c>
      <c r="F28" s="435">
        <v>10</v>
      </c>
      <c r="G28" s="435">
        <v>1400</v>
      </c>
      <c r="H28" s="435">
        <v>20000</v>
      </c>
      <c r="I28" s="431" t="s">
        <v>777</v>
      </c>
      <c r="J28" s="432" t="s">
        <v>0</v>
      </c>
      <c r="K28" s="432">
        <v>-30</v>
      </c>
      <c r="L28" s="432">
        <v>70</v>
      </c>
      <c r="M28" s="436" t="s">
        <v>577</v>
      </c>
      <c r="N28" s="432">
        <v>70</v>
      </c>
      <c r="O28" s="435" t="s">
        <v>168</v>
      </c>
      <c r="P28" s="435" t="s">
        <v>168</v>
      </c>
      <c r="Q28" s="434">
        <f>C28*((100-Discounts!$B$6)/100)</f>
        <v>22</v>
      </c>
      <c r="R28" t="str">
        <f>IF(ISNUMBER(Table3[[#This Row],[Thickness]]), "Zenith", "")</f>
        <v>Zenith</v>
      </c>
      <c r="S28">
        <v>3</v>
      </c>
      <c r="T28">
        <v>200</v>
      </c>
    </row>
    <row r="29" spans="1:20" x14ac:dyDescent="0.85">
      <c r="A29" s="429" t="s">
        <v>86</v>
      </c>
      <c r="B29" s="429" t="s">
        <v>203</v>
      </c>
      <c r="C29" s="430">
        <v>65.75</v>
      </c>
      <c r="D29" s="430"/>
      <c r="E29" s="430" t="s">
        <v>757</v>
      </c>
      <c r="F29" s="431">
        <v>12</v>
      </c>
      <c r="G29" s="431">
        <v>1400</v>
      </c>
      <c r="H29" s="431">
        <v>5000</v>
      </c>
      <c r="I29" s="431" t="s">
        <v>777</v>
      </c>
      <c r="J29" s="432" t="s">
        <v>0</v>
      </c>
      <c r="K29" s="432">
        <v>-30</v>
      </c>
      <c r="L29" s="432">
        <v>70</v>
      </c>
      <c r="M29" s="432" t="s">
        <v>577</v>
      </c>
      <c r="N29" s="432">
        <v>70</v>
      </c>
      <c r="O29" s="431" t="s">
        <v>168</v>
      </c>
      <c r="P29" s="431" t="s">
        <v>168</v>
      </c>
      <c r="Q29" s="430">
        <f>C29*((100-Discounts!$B$6)/100)</f>
        <v>26.3</v>
      </c>
      <c r="R29" t="str">
        <f>IF(ISNUMBER(Table3[[#This Row],[Thickness]]), "Zenith", "")</f>
        <v>Zenith</v>
      </c>
      <c r="S29">
        <v>3</v>
      </c>
      <c r="T29">
        <v>200</v>
      </c>
    </row>
    <row r="30" spans="1:20" x14ac:dyDescent="0.85">
      <c r="A30" s="433" t="s">
        <v>87</v>
      </c>
      <c r="B30" s="429" t="s">
        <v>203</v>
      </c>
      <c r="C30" s="434">
        <v>81.25</v>
      </c>
      <c r="D30" s="434"/>
      <c r="E30" s="430" t="s">
        <v>757</v>
      </c>
      <c r="F30" s="435">
        <v>15</v>
      </c>
      <c r="G30" s="435">
        <v>1400</v>
      </c>
      <c r="H30" s="435">
        <v>5000</v>
      </c>
      <c r="I30" s="431" t="s">
        <v>777</v>
      </c>
      <c r="J30" s="432" t="s">
        <v>0</v>
      </c>
      <c r="K30" s="432">
        <v>-30</v>
      </c>
      <c r="L30" s="432">
        <v>70</v>
      </c>
      <c r="M30" s="436" t="s">
        <v>577</v>
      </c>
      <c r="N30" s="432">
        <v>70</v>
      </c>
      <c r="O30" s="435" t="s">
        <v>168</v>
      </c>
      <c r="P30" s="435" t="s">
        <v>168</v>
      </c>
      <c r="Q30" s="434">
        <f>C30*((100-Discounts!$B$6)/100)</f>
        <v>32.5</v>
      </c>
      <c r="R30" t="str">
        <f>IF(ISNUMBER(Table3[[#This Row],[Thickness]]), "Zenith", "")</f>
        <v>Zenith</v>
      </c>
      <c r="S30">
        <v>3</v>
      </c>
      <c r="T30">
        <v>200</v>
      </c>
    </row>
    <row r="31" spans="1:20" x14ac:dyDescent="0.85">
      <c r="A31" s="429" t="s">
        <v>87</v>
      </c>
      <c r="B31" s="429" t="s">
        <v>203</v>
      </c>
      <c r="C31" s="430">
        <v>81.25</v>
      </c>
      <c r="D31" s="430"/>
      <c r="E31" s="430" t="s">
        <v>757</v>
      </c>
      <c r="F31" s="431">
        <v>15</v>
      </c>
      <c r="G31" s="431">
        <v>1400</v>
      </c>
      <c r="H31" s="431">
        <v>10000</v>
      </c>
      <c r="I31" s="431" t="s">
        <v>777</v>
      </c>
      <c r="J31" s="432" t="s">
        <v>0</v>
      </c>
      <c r="K31" s="432">
        <v>-30</v>
      </c>
      <c r="L31" s="432">
        <v>70</v>
      </c>
      <c r="M31" s="432" t="s">
        <v>577</v>
      </c>
      <c r="N31" s="432">
        <v>70</v>
      </c>
      <c r="O31" s="431" t="s">
        <v>168</v>
      </c>
      <c r="P31" s="431" t="s">
        <v>168</v>
      </c>
      <c r="Q31" s="430">
        <f>C31*((100-Discounts!$B$6)/100)</f>
        <v>32.5</v>
      </c>
      <c r="R31" t="str">
        <f>IF(ISNUMBER(Table3[[#This Row],[Thickness]]), "Zenith", "")</f>
        <v>Zenith</v>
      </c>
      <c r="S31">
        <v>3</v>
      </c>
      <c r="T31">
        <v>200</v>
      </c>
    </row>
    <row r="32" spans="1:20" x14ac:dyDescent="0.85">
      <c r="A32" s="433" t="s">
        <v>89</v>
      </c>
      <c r="B32" s="429" t="s">
        <v>203</v>
      </c>
      <c r="C32" s="434">
        <v>108.25</v>
      </c>
      <c r="D32" s="434"/>
      <c r="E32" s="430" t="s">
        <v>757</v>
      </c>
      <c r="F32" s="435">
        <v>20</v>
      </c>
      <c r="G32" s="435">
        <v>1400</v>
      </c>
      <c r="H32" s="435">
        <v>5000</v>
      </c>
      <c r="I32" s="431" t="s">
        <v>777</v>
      </c>
      <c r="J32" s="432" t="s">
        <v>0</v>
      </c>
      <c r="K32" s="432">
        <v>-30</v>
      </c>
      <c r="L32" s="432">
        <v>70</v>
      </c>
      <c r="M32" s="436" t="s">
        <v>577</v>
      </c>
      <c r="N32" s="432">
        <v>70</v>
      </c>
      <c r="O32" s="435" t="s">
        <v>168</v>
      </c>
      <c r="P32" s="435" t="s">
        <v>168</v>
      </c>
      <c r="Q32" s="434">
        <f>C32*((100-Discounts!$B$6)/100)</f>
        <v>43.300000000000004</v>
      </c>
      <c r="R32" t="str">
        <f>IF(ISNUMBER(Table3[[#This Row],[Thickness]]), "Zenith", "")</f>
        <v>Zenith</v>
      </c>
      <c r="S32">
        <v>3</v>
      </c>
      <c r="T32">
        <v>200</v>
      </c>
    </row>
    <row r="33" spans="1:20" x14ac:dyDescent="0.85">
      <c r="A33" s="429" t="s">
        <v>89</v>
      </c>
      <c r="B33" s="429" t="s">
        <v>203</v>
      </c>
      <c r="C33" s="430">
        <v>108.25</v>
      </c>
      <c r="D33" s="430"/>
      <c r="E33" s="430" t="s">
        <v>757</v>
      </c>
      <c r="F33" s="431">
        <v>20</v>
      </c>
      <c r="G33" s="431">
        <v>1400</v>
      </c>
      <c r="H33" s="431">
        <v>10000</v>
      </c>
      <c r="I33" s="431" t="s">
        <v>777</v>
      </c>
      <c r="J33" s="432" t="s">
        <v>0</v>
      </c>
      <c r="K33" s="432">
        <v>-30</v>
      </c>
      <c r="L33" s="432">
        <v>70</v>
      </c>
      <c r="M33" s="432" t="s">
        <v>577</v>
      </c>
      <c r="N33" s="432">
        <v>70</v>
      </c>
      <c r="O33" s="431" t="s">
        <v>168</v>
      </c>
      <c r="P33" s="431" t="s">
        <v>168</v>
      </c>
      <c r="Q33" s="430">
        <f>C33*((100-Discounts!$B$6)/100)</f>
        <v>43.300000000000004</v>
      </c>
      <c r="R33" t="str">
        <f>IF(ISNUMBER(Table3[[#This Row],[Thickness]]), "Zenith", "")</f>
        <v>Zenith</v>
      </c>
      <c r="S33">
        <v>3</v>
      </c>
      <c r="T33">
        <v>200</v>
      </c>
    </row>
    <row r="34" spans="1:20" x14ac:dyDescent="0.85">
      <c r="A34" s="433" t="s">
        <v>175</v>
      </c>
      <c r="B34" s="429" t="s">
        <v>203</v>
      </c>
      <c r="C34" s="434">
        <v>133.5</v>
      </c>
      <c r="D34" s="434"/>
      <c r="E34" s="430" t="s">
        <v>757</v>
      </c>
      <c r="F34" s="435">
        <v>25</v>
      </c>
      <c r="G34" s="435">
        <v>1400</v>
      </c>
      <c r="H34" s="435">
        <v>5000</v>
      </c>
      <c r="I34" s="431" t="s">
        <v>777</v>
      </c>
      <c r="J34" s="432" t="s">
        <v>0</v>
      </c>
      <c r="K34" s="432">
        <v>-30</v>
      </c>
      <c r="L34" s="432">
        <v>70</v>
      </c>
      <c r="M34" s="436" t="s">
        <v>577</v>
      </c>
      <c r="N34" s="432">
        <v>70</v>
      </c>
      <c r="O34" s="435" t="s">
        <v>168</v>
      </c>
      <c r="P34" s="435" t="s">
        <v>168</v>
      </c>
      <c r="Q34" s="434">
        <f>C34*((100-Discounts!$B$6)/100)</f>
        <v>53.400000000000006</v>
      </c>
      <c r="R34" t="str">
        <f>IF(ISNUMBER(Table3[[#This Row],[Thickness]]), "Zenith", "")</f>
        <v>Zenith</v>
      </c>
      <c r="S34">
        <v>3</v>
      </c>
      <c r="T34">
        <v>200</v>
      </c>
    </row>
    <row r="35" spans="1:20" x14ac:dyDescent="0.85">
      <c r="A35" s="429" t="s">
        <v>176</v>
      </c>
      <c r="B35" s="429" t="s">
        <v>203</v>
      </c>
      <c r="C35" s="430">
        <v>166.75</v>
      </c>
      <c r="D35" s="430"/>
      <c r="E35" s="430" t="s">
        <v>757</v>
      </c>
      <c r="F35" s="431">
        <v>30</v>
      </c>
      <c r="G35" s="431">
        <v>1400</v>
      </c>
      <c r="H35" s="431">
        <v>5000</v>
      </c>
      <c r="I35" s="431" t="s">
        <v>777</v>
      </c>
      <c r="J35" s="432" t="s">
        <v>0</v>
      </c>
      <c r="K35" s="432">
        <v>-30</v>
      </c>
      <c r="L35" s="432">
        <v>70</v>
      </c>
      <c r="M35" s="436" t="s">
        <v>577</v>
      </c>
      <c r="N35" s="432">
        <v>70</v>
      </c>
      <c r="O35" s="431" t="s">
        <v>168</v>
      </c>
      <c r="P35" s="431" t="s">
        <v>168</v>
      </c>
      <c r="Q35" s="430">
        <f>C35*((100-Discounts!$B$6)/100)</f>
        <v>66.7</v>
      </c>
      <c r="R35" t="str">
        <f>IF(ISNUMBER(Table3[[#This Row],[Thickness]]), "Zenith", "")</f>
        <v>Zenith</v>
      </c>
      <c r="S35">
        <v>3</v>
      </c>
      <c r="T35">
        <v>200</v>
      </c>
    </row>
    <row r="36" spans="1:20" ht="27" thickBot="1" x14ac:dyDescent="0.9">
      <c r="A36" s="345"/>
      <c r="B36" s="346"/>
      <c r="C36" s="347"/>
      <c r="D36" s="347"/>
      <c r="E36" s="347"/>
      <c r="F36" s="341" t="s">
        <v>326</v>
      </c>
      <c r="G36" s="341">
        <v>0</v>
      </c>
      <c r="H36" s="323">
        <v>0</v>
      </c>
      <c r="I36" s="217" t="s">
        <v>777</v>
      </c>
      <c r="J36" t="s">
        <v>0</v>
      </c>
      <c r="K36">
        <v>-30</v>
      </c>
      <c r="L36">
        <v>70</v>
      </c>
      <c r="M36" s="348" t="s">
        <v>577</v>
      </c>
      <c r="N36" s="349">
        <v>70</v>
      </c>
      <c r="O36" s="344"/>
      <c r="P36" s="323"/>
      <c r="Q36" s="350" t="s">
        <v>323</v>
      </c>
      <c r="R36" t="str">
        <f>IF(ISNUMBER(Table3[[#This Row],[Thickness]]), "Zenith", "")</f>
        <v/>
      </c>
    </row>
    <row r="37" spans="1:20" ht="54" thickTop="1" thickBot="1" x14ac:dyDescent="0.9">
      <c r="A37" s="92" t="s">
        <v>322</v>
      </c>
      <c r="B37" s="293"/>
      <c r="C37" s="224" t="s">
        <v>179</v>
      </c>
      <c r="D37" s="311"/>
      <c r="E37" s="311"/>
      <c r="F37" s="222" t="s">
        <v>320</v>
      </c>
      <c r="G37" s="222" t="e">
        <v>#VALUE!</v>
      </c>
      <c r="H37" s="223" t="e">
        <v>#VALUE!</v>
      </c>
      <c r="I37" s="217" t="s">
        <v>777</v>
      </c>
      <c r="J37" t="s">
        <v>0</v>
      </c>
      <c r="K37">
        <v>-30</v>
      </c>
      <c r="L37">
        <v>70</v>
      </c>
      <c r="M37" s="231" t="s">
        <v>577</v>
      </c>
      <c r="N37" s="230">
        <v>70</v>
      </c>
      <c r="O37" s="223" t="s">
        <v>171</v>
      </c>
      <c r="P37" s="223" t="s">
        <v>325</v>
      </c>
      <c r="Q37" s="224" t="s">
        <v>199</v>
      </c>
      <c r="R37" t="str">
        <f>IF(ISNUMBER(Table3[[#This Row],[Thickness]]), "Zenith", "")</f>
        <v/>
      </c>
    </row>
    <row r="38" spans="1:20" ht="27" thickTop="1" x14ac:dyDescent="0.85">
      <c r="A38" s="429" t="s">
        <v>173</v>
      </c>
      <c r="B38" s="429" t="s">
        <v>759</v>
      </c>
      <c r="C38" s="430">
        <v>11</v>
      </c>
      <c r="D38" s="430"/>
      <c r="E38" s="430" t="s">
        <v>757</v>
      </c>
      <c r="F38" s="431">
        <v>1.5</v>
      </c>
      <c r="G38" s="431">
        <v>1400</v>
      </c>
      <c r="H38" s="431">
        <v>15000</v>
      </c>
      <c r="I38" s="431" t="s">
        <v>777</v>
      </c>
      <c r="J38" s="432" t="s">
        <v>0</v>
      </c>
      <c r="K38" s="432">
        <v>-30</v>
      </c>
      <c r="L38" s="432">
        <v>70</v>
      </c>
      <c r="M38" s="436" t="s">
        <v>577</v>
      </c>
      <c r="N38" s="432">
        <v>70</v>
      </c>
      <c r="O38" s="431">
        <v>1</v>
      </c>
      <c r="P38" s="431" t="s">
        <v>172</v>
      </c>
      <c r="Q38" s="430">
        <f>C38*((100-Discounts!$B$6)/100)</f>
        <v>4.4000000000000004</v>
      </c>
      <c r="R38" t="str">
        <f>IF(ISNUMBER(Table3[[#This Row],[Thickness]]), "Zenith", "")</f>
        <v>Zenith</v>
      </c>
      <c r="S38">
        <v>3</v>
      </c>
      <c r="T38">
        <v>200</v>
      </c>
    </row>
    <row r="39" spans="1:20" x14ac:dyDescent="0.85">
      <c r="A39" s="433" t="s">
        <v>174</v>
      </c>
      <c r="B39" s="429" t="s">
        <v>759</v>
      </c>
      <c r="C39" s="434">
        <v>13.5</v>
      </c>
      <c r="D39" s="434"/>
      <c r="E39" s="430" t="s">
        <v>757</v>
      </c>
      <c r="F39" s="435">
        <v>2</v>
      </c>
      <c r="G39" s="435">
        <v>1200</v>
      </c>
      <c r="H39" s="435">
        <v>10000</v>
      </c>
      <c r="I39" s="431" t="s">
        <v>777</v>
      </c>
      <c r="J39" s="432" t="s">
        <v>0</v>
      </c>
      <c r="K39" s="432">
        <v>-30</v>
      </c>
      <c r="L39" s="432">
        <v>70</v>
      </c>
      <c r="M39" s="436" t="s">
        <v>577</v>
      </c>
      <c r="N39" s="432">
        <v>70</v>
      </c>
      <c r="O39" s="435">
        <v>1</v>
      </c>
      <c r="P39" s="435" t="s">
        <v>172</v>
      </c>
      <c r="Q39" s="434">
        <f>C39*((100-Discounts!$B$6)/100)</f>
        <v>5.4</v>
      </c>
      <c r="R39" t="str">
        <f>IF(ISNUMBER(Table3[[#This Row],[Thickness]]), "Zenith", "")</f>
        <v>Zenith</v>
      </c>
      <c r="S39">
        <v>3</v>
      </c>
      <c r="T39">
        <v>200</v>
      </c>
    </row>
    <row r="40" spans="1:20" x14ac:dyDescent="0.85">
      <c r="A40" s="429" t="s">
        <v>174</v>
      </c>
      <c r="B40" s="429" t="s">
        <v>759</v>
      </c>
      <c r="C40" s="430">
        <v>13.5</v>
      </c>
      <c r="D40" s="430"/>
      <c r="E40" s="430" t="s">
        <v>757</v>
      </c>
      <c r="F40" s="431">
        <v>2</v>
      </c>
      <c r="G40" s="431">
        <v>1400</v>
      </c>
      <c r="H40" s="431">
        <v>10000</v>
      </c>
      <c r="I40" s="431" t="s">
        <v>777</v>
      </c>
      <c r="J40" s="432" t="s">
        <v>0</v>
      </c>
      <c r="K40" s="432">
        <v>-30</v>
      </c>
      <c r="L40" s="432">
        <v>70</v>
      </c>
      <c r="M40" s="436" t="s">
        <v>577</v>
      </c>
      <c r="N40" s="432">
        <v>70</v>
      </c>
      <c r="O40" s="431">
        <v>1</v>
      </c>
      <c r="P40" s="431" t="s">
        <v>172</v>
      </c>
      <c r="Q40" s="430">
        <f>C40*((100-Discounts!$B$6)/100)</f>
        <v>5.4</v>
      </c>
      <c r="R40" t="str">
        <f>IF(ISNUMBER(Table3[[#This Row],[Thickness]]), "Zenith", "")</f>
        <v>Zenith</v>
      </c>
      <c r="S40">
        <v>3</v>
      </c>
      <c r="T40">
        <v>200</v>
      </c>
    </row>
    <row r="41" spans="1:20" x14ac:dyDescent="0.85">
      <c r="A41" s="433" t="s">
        <v>71</v>
      </c>
      <c r="B41" s="429" t="s">
        <v>759</v>
      </c>
      <c r="C41" s="434">
        <v>18.75</v>
      </c>
      <c r="D41" s="434"/>
      <c r="E41" s="430" t="s">
        <v>757</v>
      </c>
      <c r="F41" s="435">
        <v>3</v>
      </c>
      <c r="G41" s="435">
        <v>1200</v>
      </c>
      <c r="H41" s="435">
        <v>10000</v>
      </c>
      <c r="I41" s="431" t="s">
        <v>777</v>
      </c>
      <c r="J41" s="432" t="s">
        <v>0</v>
      </c>
      <c r="K41" s="432">
        <v>-30</v>
      </c>
      <c r="L41" s="432">
        <v>70</v>
      </c>
      <c r="M41" s="436" t="s">
        <v>577</v>
      </c>
      <c r="N41" s="432">
        <v>70</v>
      </c>
      <c r="O41" s="435">
        <v>1</v>
      </c>
      <c r="P41" s="435" t="s">
        <v>172</v>
      </c>
      <c r="Q41" s="434">
        <f>C41*((100-Discounts!$B$6)/100)</f>
        <v>7.5</v>
      </c>
      <c r="R41" t="str">
        <f>IF(ISNUMBER(Table3[[#This Row],[Thickness]]), "Zenith", "")</f>
        <v>Zenith</v>
      </c>
      <c r="S41">
        <v>3</v>
      </c>
      <c r="T41">
        <v>200</v>
      </c>
    </row>
    <row r="42" spans="1:20" x14ac:dyDescent="0.85">
      <c r="A42" s="429" t="s">
        <v>71</v>
      </c>
      <c r="B42" s="429" t="s">
        <v>759</v>
      </c>
      <c r="C42" s="430">
        <v>18.75</v>
      </c>
      <c r="D42" s="430"/>
      <c r="E42" s="430" t="s">
        <v>757</v>
      </c>
      <c r="F42" s="431">
        <v>3</v>
      </c>
      <c r="G42" s="431">
        <v>1400</v>
      </c>
      <c r="H42" s="431">
        <v>10000</v>
      </c>
      <c r="I42" s="431" t="s">
        <v>777</v>
      </c>
      <c r="J42" s="432" t="s">
        <v>0</v>
      </c>
      <c r="K42" s="432">
        <v>-30</v>
      </c>
      <c r="L42" s="432">
        <v>70</v>
      </c>
      <c r="M42" s="436" t="s">
        <v>577</v>
      </c>
      <c r="N42" s="432">
        <v>70</v>
      </c>
      <c r="O42" s="431">
        <v>1</v>
      </c>
      <c r="P42" s="431" t="s">
        <v>172</v>
      </c>
      <c r="Q42" s="430">
        <f>C42*((100-Discounts!$B$6)/100)</f>
        <v>7.5</v>
      </c>
      <c r="R42" t="str">
        <f>IF(ISNUMBER(Table3[[#This Row],[Thickness]]), "Zenith", "")</f>
        <v>Zenith</v>
      </c>
      <c r="S42">
        <v>3</v>
      </c>
      <c r="T42">
        <v>200</v>
      </c>
    </row>
    <row r="43" spans="1:20" x14ac:dyDescent="0.85">
      <c r="A43" s="433" t="s">
        <v>71</v>
      </c>
      <c r="B43" s="429" t="s">
        <v>759</v>
      </c>
      <c r="C43" s="434">
        <v>18.75</v>
      </c>
      <c r="D43" s="434"/>
      <c r="E43" s="430" t="s">
        <v>757</v>
      </c>
      <c r="F43" s="435">
        <v>3</v>
      </c>
      <c r="G43" s="435">
        <v>1500</v>
      </c>
      <c r="H43" s="435">
        <v>10000</v>
      </c>
      <c r="I43" s="431" t="s">
        <v>777</v>
      </c>
      <c r="J43" s="432" t="s">
        <v>0</v>
      </c>
      <c r="K43" s="432">
        <v>-30</v>
      </c>
      <c r="L43" s="432">
        <v>70</v>
      </c>
      <c r="M43" s="436" t="s">
        <v>577</v>
      </c>
      <c r="N43" s="432">
        <v>70</v>
      </c>
      <c r="O43" s="435">
        <v>1</v>
      </c>
      <c r="P43" s="435" t="s">
        <v>172</v>
      </c>
      <c r="Q43" s="434">
        <f>C43*((100-Discounts!$B$6)/100)</f>
        <v>7.5</v>
      </c>
      <c r="R43" t="str">
        <f>IF(ISNUMBER(Table3[[#This Row],[Thickness]]), "Zenith", "")</f>
        <v>Zenith</v>
      </c>
      <c r="S43">
        <v>3</v>
      </c>
      <c r="T43">
        <v>200</v>
      </c>
    </row>
    <row r="44" spans="1:20" x14ac:dyDescent="0.85">
      <c r="A44" s="429" t="s">
        <v>72</v>
      </c>
      <c r="B44" s="429" t="s">
        <v>759</v>
      </c>
      <c r="C44" s="430">
        <v>20.25</v>
      </c>
      <c r="D44" s="430"/>
      <c r="E44" s="430" t="s">
        <v>757</v>
      </c>
      <c r="F44" s="431">
        <v>3</v>
      </c>
      <c r="G44" s="431">
        <v>1200</v>
      </c>
      <c r="H44" s="431">
        <v>10000</v>
      </c>
      <c r="I44" s="431" t="s">
        <v>777</v>
      </c>
      <c r="J44" s="432" t="s">
        <v>0</v>
      </c>
      <c r="K44" s="432">
        <v>-30</v>
      </c>
      <c r="L44" s="432">
        <v>70</v>
      </c>
      <c r="M44" s="436" t="s">
        <v>577</v>
      </c>
      <c r="N44" s="432">
        <v>70</v>
      </c>
      <c r="O44" s="431">
        <v>2</v>
      </c>
      <c r="P44" s="431" t="s">
        <v>172</v>
      </c>
      <c r="Q44" s="430">
        <f>C44*((100-Discounts!$B$6)/100)</f>
        <v>8.1</v>
      </c>
      <c r="R44" t="str">
        <f>IF(ISNUMBER(Table3[[#This Row],[Thickness]]), "Zenith", "")</f>
        <v>Zenith</v>
      </c>
      <c r="S44">
        <v>3</v>
      </c>
      <c r="T44">
        <v>200</v>
      </c>
    </row>
    <row r="45" spans="1:20" x14ac:dyDescent="0.85">
      <c r="A45" s="433" t="s">
        <v>72</v>
      </c>
      <c r="B45" s="429" t="s">
        <v>759</v>
      </c>
      <c r="C45" s="434">
        <v>20.25</v>
      </c>
      <c r="D45" s="434"/>
      <c r="E45" s="430" t="s">
        <v>757</v>
      </c>
      <c r="F45" s="435">
        <v>3</v>
      </c>
      <c r="G45" s="435">
        <v>1400</v>
      </c>
      <c r="H45" s="435">
        <v>10000</v>
      </c>
      <c r="I45" s="431" t="s">
        <v>777</v>
      </c>
      <c r="J45" s="432" t="s">
        <v>0</v>
      </c>
      <c r="K45" s="432">
        <v>-30</v>
      </c>
      <c r="L45" s="432">
        <v>70</v>
      </c>
      <c r="M45" s="436" t="s">
        <v>577</v>
      </c>
      <c r="N45" s="432">
        <v>70</v>
      </c>
      <c r="O45" s="435">
        <v>2</v>
      </c>
      <c r="P45" s="435" t="s">
        <v>172</v>
      </c>
      <c r="Q45" s="434">
        <f>C45*((100-Discounts!$B$6)/100)</f>
        <v>8.1</v>
      </c>
      <c r="R45" t="str">
        <f>IF(ISNUMBER(Table3[[#This Row],[Thickness]]), "Zenith", "")</f>
        <v>Zenith</v>
      </c>
      <c r="S45">
        <v>3</v>
      </c>
      <c r="T45">
        <v>200</v>
      </c>
    </row>
    <row r="46" spans="1:20" x14ac:dyDescent="0.85">
      <c r="A46" s="429" t="s">
        <v>73</v>
      </c>
      <c r="B46" s="429" t="s">
        <v>759</v>
      </c>
      <c r="C46" s="430">
        <v>24.25</v>
      </c>
      <c r="D46" s="430"/>
      <c r="E46" s="430" t="s">
        <v>757</v>
      </c>
      <c r="F46" s="431">
        <v>4</v>
      </c>
      <c r="G46" s="431">
        <v>1200</v>
      </c>
      <c r="H46" s="431">
        <v>10000</v>
      </c>
      <c r="I46" s="431" t="s">
        <v>777</v>
      </c>
      <c r="J46" s="432" t="s">
        <v>0</v>
      </c>
      <c r="K46" s="432">
        <v>-30</v>
      </c>
      <c r="L46" s="432">
        <v>70</v>
      </c>
      <c r="M46" s="436" t="s">
        <v>577</v>
      </c>
      <c r="N46" s="432">
        <v>70</v>
      </c>
      <c r="O46" s="431">
        <v>1</v>
      </c>
      <c r="P46" s="431" t="s">
        <v>172</v>
      </c>
      <c r="Q46" s="430">
        <f>C46*((100-Discounts!$B$6)/100)</f>
        <v>9.7000000000000011</v>
      </c>
      <c r="R46" t="str">
        <f>IF(ISNUMBER(Table3[[#This Row],[Thickness]]), "Zenith", "")</f>
        <v>Zenith</v>
      </c>
      <c r="S46">
        <v>3</v>
      </c>
      <c r="T46">
        <v>200</v>
      </c>
    </row>
    <row r="47" spans="1:20" x14ac:dyDescent="0.85">
      <c r="A47" s="433" t="s">
        <v>73</v>
      </c>
      <c r="B47" s="429" t="s">
        <v>759</v>
      </c>
      <c r="C47" s="434">
        <v>24.25</v>
      </c>
      <c r="D47" s="434"/>
      <c r="E47" s="430" t="s">
        <v>757</v>
      </c>
      <c r="F47" s="435">
        <v>4</v>
      </c>
      <c r="G47" s="435">
        <v>1400</v>
      </c>
      <c r="H47" s="435">
        <v>10000</v>
      </c>
      <c r="I47" s="431" t="s">
        <v>777</v>
      </c>
      <c r="J47" s="432" t="s">
        <v>0</v>
      </c>
      <c r="K47" s="432">
        <v>-30</v>
      </c>
      <c r="L47" s="432">
        <v>70</v>
      </c>
      <c r="M47" s="436" t="s">
        <v>577</v>
      </c>
      <c r="N47" s="432">
        <v>70</v>
      </c>
      <c r="O47" s="435">
        <v>1</v>
      </c>
      <c r="P47" s="435" t="s">
        <v>172</v>
      </c>
      <c r="Q47" s="434">
        <f>C47*((100-Discounts!$B$6)/100)</f>
        <v>9.7000000000000011</v>
      </c>
      <c r="R47" t="str">
        <f>IF(ISNUMBER(Table3[[#This Row],[Thickness]]), "Zenith", "")</f>
        <v>Zenith</v>
      </c>
      <c r="S47">
        <v>3</v>
      </c>
      <c r="T47">
        <v>200</v>
      </c>
    </row>
    <row r="48" spans="1:20" x14ac:dyDescent="0.85">
      <c r="A48" s="429" t="s">
        <v>74</v>
      </c>
      <c r="B48" s="429" t="s">
        <v>759</v>
      </c>
      <c r="C48" s="430">
        <v>25.75</v>
      </c>
      <c r="D48" s="430"/>
      <c r="E48" s="430" t="s">
        <v>757</v>
      </c>
      <c r="F48" s="431">
        <v>4</v>
      </c>
      <c r="G48" s="431">
        <v>1200</v>
      </c>
      <c r="H48" s="431">
        <v>10000</v>
      </c>
      <c r="I48" s="431" t="s">
        <v>777</v>
      </c>
      <c r="J48" s="432" t="s">
        <v>0</v>
      </c>
      <c r="K48" s="432">
        <v>-30</v>
      </c>
      <c r="L48" s="432">
        <v>70</v>
      </c>
      <c r="M48" s="436" t="s">
        <v>577</v>
      </c>
      <c r="N48" s="432">
        <v>70</v>
      </c>
      <c r="O48" s="431">
        <v>2</v>
      </c>
      <c r="P48" s="431" t="s">
        <v>172</v>
      </c>
      <c r="Q48" s="430">
        <f>C48*((100-Discounts!$B$6)/100)</f>
        <v>10.3</v>
      </c>
      <c r="R48" t="str">
        <f>IF(ISNUMBER(Table3[[#This Row],[Thickness]]), "Zenith", "")</f>
        <v>Zenith</v>
      </c>
      <c r="S48">
        <v>3</v>
      </c>
      <c r="T48">
        <v>200</v>
      </c>
    </row>
    <row r="49" spans="1:20" x14ac:dyDescent="0.85">
      <c r="A49" s="433" t="s">
        <v>74</v>
      </c>
      <c r="B49" s="429" t="s">
        <v>759</v>
      </c>
      <c r="C49" s="434">
        <v>25.75</v>
      </c>
      <c r="D49" s="434"/>
      <c r="E49" s="430" t="s">
        <v>757</v>
      </c>
      <c r="F49" s="435">
        <v>4</v>
      </c>
      <c r="G49" s="435">
        <v>1400</v>
      </c>
      <c r="H49" s="435">
        <v>10000</v>
      </c>
      <c r="I49" s="431" t="s">
        <v>777</v>
      </c>
      <c r="J49" s="432" t="s">
        <v>0</v>
      </c>
      <c r="K49" s="432">
        <v>-30</v>
      </c>
      <c r="L49" s="432">
        <v>70</v>
      </c>
      <c r="M49" s="436" t="s">
        <v>577</v>
      </c>
      <c r="N49" s="432">
        <v>70</v>
      </c>
      <c r="O49" s="435">
        <v>2</v>
      </c>
      <c r="P49" s="435" t="s">
        <v>172</v>
      </c>
      <c r="Q49" s="434">
        <f>C49*((100-Discounts!$B$6)/100)</f>
        <v>10.3</v>
      </c>
      <c r="R49" t="str">
        <f>IF(ISNUMBER(Table3[[#This Row],[Thickness]]), "Zenith", "")</f>
        <v>Zenith</v>
      </c>
      <c r="S49">
        <v>3</v>
      </c>
      <c r="T49">
        <v>200</v>
      </c>
    </row>
    <row r="50" spans="1:20" x14ac:dyDescent="0.85">
      <c r="A50" s="429" t="s">
        <v>77</v>
      </c>
      <c r="B50" s="429" t="s">
        <v>759</v>
      </c>
      <c r="C50" s="430">
        <v>29.75</v>
      </c>
      <c r="D50" s="430"/>
      <c r="E50" s="430" t="s">
        <v>757</v>
      </c>
      <c r="F50" s="431">
        <v>5</v>
      </c>
      <c r="G50" s="431">
        <v>1200</v>
      </c>
      <c r="H50" s="431">
        <v>10000</v>
      </c>
      <c r="I50" s="431" t="s">
        <v>777</v>
      </c>
      <c r="J50" s="432" t="s">
        <v>0</v>
      </c>
      <c r="K50" s="432">
        <v>-30</v>
      </c>
      <c r="L50" s="432">
        <v>70</v>
      </c>
      <c r="M50" s="436" t="s">
        <v>577</v>
      </c>
      <c r="N50" s="432">
        <v>70</v>
      </c>
      <c r="O50" s="431">
        <v>1</v>
      </c>
      <c r="P50" s="431" t="s">
        <v>172</v>
      </c>
      <c r="Q50" s="430">
        <f>C50*((100-Discounts!$B$6)/100)</f>
        <v>11.9</v>
      </c>
      <c r="R50" t="str">
        <f>IF(ISNUMBER(Table3[[#This Row],[Thickness]]), "Zenith", "")</f>
        <v>Zenith</v>
      </c>
      <c r="S50">
        <v>3</v>
      </c>
      <c r="T50">
        <v>200</v>
      </c>
    </row>
    <row r="51" spans="1:20" x14ac:dyDescent="0.85">
      <c r="A51" s="433" t="s">
        <v>77</v>
      </c>
      <c r="B51" s="429" t="s">
        <v>759</v>
      </c>
      <c r="C51" s="434">
        <v>29.75</v>
      </c>
      <c r="D51" s="434"/>
      <c r="E51" s="430" t="s">
        <v>757</v>
      </c>
      <c r="F51" s="435">
        <v>5</v>
      </c>
      <c r="G51" s="435">
        <v>1400</v>
      </c>
      <c r="H51" s="435">
        <v>10000</v>
      </c>
      <c r="I51" s="431" t="s">
        <v>777</v>
      </c>
      <c r="J51" s="432" t="s">
        <v>0</v>
      </c>
      <c r="K51" s="432">
        <v>-30</v>
      </c>
      <c r="L51" s="432">
        <v>70</v>
      </c>
      <c r="M51" s="436" t="s">
        <v>577</v>
      </c>
      <c r="N51" s="432">
        <v>70</v>
      </c>
      <c r="O51" s="435">
        <v>1</v>
      </c>
      <c r="P51" s="435" t="s">
        <v>172</v>
      </c>
      <c r="Q51" s="434">
        <f>C51*((100-Discounts!$B$6)/100)</f>
        <v>11.9</v>
      </c>
      <c r="R51" t="str">
        <f>IF(ISNUMBER(Table3[[#This Row],[Thickness]]), "Zenith", "")</f>
        <v>Zenith</v>
      </c>
      <c r="S51">
        <v>3</v>
      </c>
      <c r="T51">
        <v>200</v>
      </c>
    </row>
    <row r="52" spans="1:20" x14ac:dyDescent="0.85">
      <c r="A52" s="429" t="s">
        <v>77</v>
      </c>
      <c r="B52" s="429" t="s">
        <v>759</v>
      </c>
      <c r="C52" s="430">
        <v>29.75</v>
      </c>
      <c r="D52" s="430"/>
      <c r="E52" s="430" t="s">
        <v>757</v>
      </c>
      <c r="F52" s="431">
        <v>5</v>
      </c>
      <c r="G52" s="431">
        <v>1500</v>
      </c>
      <c r="H52" s="431">
        <v>10000</v>
      </c>
      <c r="I52" s="431" t="s">
        <v>777</v>
      </c>
      <c r="J52" s="432" t="s">
        <v>0</v>
      </c>
      <c r="K52" s="432">
        <v>-30</v>
      </c>
      <c r="L52" s="432">
        <v>70</v>
      </c>
      <c r="M52" s="436" t="s">
        <v>577</v>
      </c>
      <c r="N52" s="432">
        <v>70</v>
      </c>
      <c r="O52" s="431">
        <v>1</v>
      </c>
      <c r="P52" s="431" t="s">
        <v>172</v>
      </c>
      <c r="Q52" s="430">
        <f>C52*((100-Discounts!$B$6)/100)</f>
        <v>11.9</v>
      </c>
      <c r="R52" t="str">
        <f>IF(ISNUMBER(Table3[[#This Row],[Thickness]]), "Zenith", "")</f>
        <v>Zenith</v>
      </c>
      <c r="S52">
        <v>3</v>
      </c>
      <c r="T52">
        <v>200</v>
      </c>
    </row>
    <row r="53" spans="1:20" x14ac:dyDescent="0.85">
      <c r="A53" s="433" t="s">
        <v>78</v>
      </c>
      <c r="B53" s="429" t="s">
        <v>759</v>
      </c>
      <c r="C53" s="434">
        <v>31.25</v>
      </c>
      <c r="D53" s="434"/>
      <c r="E53" s="430" t="s">
        <v>757</v>
      </c>
      <c r="F53" s="435">
        <v>5</v>
      </c>
      <c r="G53" s="435">
        <v>1200</v>
      </c>
      <c r="H53" s="435">
        <v>10000</v>
      </c>
      <c r="I53" s="431" t="s">
        <v>777</v>
      </c>
      <c r="J53" s="432" t="s">
        <v>0</v>
      </c>
      <c r="K53" s="432">
        <v>-30</v>
      </c>
      <c r="L53" s="432">
        <v>70</v>
      </c>
      <c r="M53" s="436" t="s">
        <v>577</v>
      </c>
      <c r="N53" s="432">
        <v>70</v>
      </c>
      <c r="O53" s="435">
        <v>2</v>
      </c>
      <c r="P53" s="435" t="s">
        <v>172</v>
      </c>
      <c r="Q53" s="434">
        <f>C53*((100-Discounts!$B$6)/100)</f>
        <v>12.5</v>
      </c>
      <c r="R53" t="str">
        <f>IF(ISNUMBER(Table3[[#This Row],[Thickness]]), "Zenith", "")</f>
        <v>Zenith</v>
      </c>
      <c r="S53">
        <v>3</v>
      </c>
      <c r="T53">
        <v>200</v>
      </c>
    </row>
    <row r="54" spans="1:20" x14ac:dyDescent="0.85">
      <c r="A54" s="429" t="s">
        <v>78</v>
      </c>
      <c r="B54" s="429" t="s">
        <v>759</v>
      </c>
      <c r="C54" s="430">
        <v>31.25</v>
      </c>
      <c r="D54" s="430"/>
      <c r="E54" s="430" t="s">
        <v>757</v>
      </c>
      <c r="F54" s="431">
        <v>5</v>
      </c>
      <c r="G54" s="431">
        <v>1400</v>
      </c>
      <c r="H54" s="431">
        <v>10000</v>
      </c>
      <c r="I54" s="431" t="s">
        <v>777</v>
      </c>
      <c r="J54" s="432" t="s">
        <v>0</v>
      </c>
      <c r="K54" s="432">
        <v>-30</v>
      </c>
      <c r="L54" s="432">
        <v>70</v>
      </c>
      <c r="M54" s="436" t="s">
        <v>577</v>
      </c>
      <c r="N54" s="432">
        <v>70</v>
      </c>
      <c r="O54" s="431">
        <v>2</v>
      </c>
      <c r="P54" s="431" t="s">
        <v>172</v>
      </c>
      <c r="Q54" s="430">
        <f>C54*((100-Discounts!$B$6)/100)</f>
        <v>12.5</v>
      </c>
      <c r="R54" t="str">
        <f>IF(ISNUMBER(Table3[[#This Row],[Thickness]]), "Zenith", "")</f>
        <v>Zenith</v>
      </c>
      <c r="S54">
        <v>3</v>
      </c>
      <c r="T54">
        <v>200</v>
      </c>
    </row>
    <row r="55" spans="1:20" x14ac:dyDescent="0.85">
      <c r="A55" s="433" t="s">
        <v>80</v>
      </c>
      <c r="B55" s="429" t="s">
        <v>759</v>
      </c>
      <c r="C55" s="434">
        <v>35.25</v>
      </c>
      <c r="D55" s="434"/>
      <c r="E55" s="430" t="s">
        <v>757</v>
      </c>
      <c r="F55" s="435">
        <v>6</v>
      </c>
      <c r="G55" s="435">
        <v>1200</v>
      </c>
      <c r="H55" s="435">
        <v>10000</v>
      </c>
      <c r="I55" s="431" t="s">
        <v>777</v>
      </c>
      <c r="J55" s="432" t="s">
        <v>0</v>
      </c>
      <c r="K55" s="432">
        <v>-30</v>
      </c>
      <c r="L55" s="432">
        <v>70</v>
      </c>
      <c r="M55" s="436" t="s">
        <v>577</v>
      </c>
      <c r="N55" s="432">
        <v>70</v>
      </c>
      <c r="O55" s="435">
        <v>1</v>
      </c>
      <c r="P55" s="435" t="s">
        <v>172</v>
      </c>
      <c r="Q55" s="434">
        <f>C55*((100-Discounts!$B$6)/100)</f>
        <v>14.100000000000001</v>
      </c>
      <c r="R55" t="str">
        <f>IF(ISNUMBER(Table3[[#This Row],[Thickness]]), "Zenith", "")</f>
        <v>Zenith</v>
      </c>
      <c r="S55">
        <v>3</v>
      </c>
      <c r="T55">
        <v>200</v>
      </c>
    </row>
    <row r="56" spans="1:20" x14ac:dyDescent="0.85">
      <c r="A56" s="429" t="s">
        <v>80</v>
      </c>
      <c r="B56" s="429" t="s">
        <v>759</v>
      </c>
      <c r="C56" s="430">
        <v>35.25</v>
      </c>
      <c r="D56" s="430"/>
      <c r="E56" s="430" t="s">
        <v>757</v>
      </c>
      <c r="F56" s="431">
        <v>6</v>
      </c>
      <c r="G56" s="431">
        <v>1400</v>
      </c>
      <c r="H56" s="431">
        <v>10000</v>
      </c>
      <c r="I56" s="431" t="s">
        <v>777</v>
      </c>
      <c r="J56" s="432" t="s">
        <v>0</v>
      </c>
      <c r="K56" s="432">
        <v>-30</v>
      </c>
      <c r="L56" s="432">
        <v>70</v>
      </c>
      <c r="M56" s="436" t="s">
        <v>577</v>
      </c>
      <c r="N56" s="432">
        <v>70</v>
      </c>
      <c r="O56" s="431">
        <v>1</v>
      </c>
      <c r="P56" s="431" t="s">
        <v>172</v>
      </c>
      <c r="Q56" s="430">
        <f>C56*((100-Discounts!$B$6)/100)</f>
        <v>14.100000000000001</v>
      </c>
      <c r="R56" t="str">
        <f>IF(ISNUMBER(Table3[[#This Row],[Thickness]]), "Zenith", "")</f>
        <v>Zenith</v>
      </c>
      <c r="S56">
        <v>3</v>
      </c>
      <c r="T56">
        <v>200</v>
      </c>
    </row>
    <row r="57" spans="1:20" x14ac:dyDescent="0.85">
      <c r="A57" s="433" t="s">
        <v>81</v>
      </c>
      <c r="B57" s="429" t="s">
        <v>759</v>
      </c>
      <c r="C57" s="434">
        <v>36.75</v>
      </c>
      <c r="D57" s="434"/>
      <c r="E57" s="430" t="s">
        <v>757</v>
      </c>
      <c r="F57" s="435">
        <v>6</v>
      </c>
      <c r="G57" s="435">
        <v>1200</v>
      </c>
      <c r="H57" s="435">
        <v>10000</v>
      </c>
      <c r="I57" s="431" t="s">
        <v>777</v>
      </c>
      <c r="J57" s="432" t="s">
        <v>0</v>
      </c>
      <c r="K57" s="432">
        <v>-30</v>
      </c>
      <c r="L57" s="432">
        <v>70</v>
      </c>
      <c r="M57" s="436" t="s">
        <v>577</v>
      </c>
      <c r="N57" s="432">
        <v>70</v>
      </c>
      <c r="O57" s="435">
        <v>2</v>
      </c>
      <c r="P57" s="435" t="s">
        <v>172</v>
      </c>
      <c r="Q57" s="434">
        <f>C57*((100-Discounts!$B$6)/100)</f>
        <v>14.700000000000001</v>
      </c>
      <c r="R57" t="str">
        <f>IF(ISNUMBER(Table3[[#This Row],[Thickness]]), "Zenith", "")</f>
        <v>Zenith</v>
      </c>
      <c r="S57">
        <v>3</v>
      </c>
      <c r="T57">
        <v>200</v>
      </c>
    </row>
    <row r="58" spans="1:20" x14ac:dyDescent="0.85">
      <c r="A58" s="429" t="s">
        <v>81</v>
      </c>
      <c r="B58" s="429" t="s">
        <v>759</v>
      </c>
      <c r="C58" s="430">
        <v>36.75</v>
      </c>
      <c r="D58" s="430"/>
      <c r="E58" s="430" t="s">
        <v>757</v>
      </c>
      <c r="F58" s="431">
        <v>6</v>
      </c>
      <c r="G58" s="431">
        <v>1400</v>
      </c>
      <c r="H58" s="431">
        <v>10000</v>
      </c>
      <c r="I58" s="431" t="s">
        <v>777</v>
      </c>
      <c r="J58" s="432" t="s">
        <v>0</v>
      </c>
      <c r="K58" s="432">
        <v>-30</v>
      </c>
      <c r="L58" s="432">
        <v>70</v>
      </c>
      <c r="M58" s="436" t="s">
        <v>577</v>
      </c>
      <c r="N58" s="432">
        <v>70</v>
      </c>
      <c r="O58" s="431">
        <v>2</v>
      </c>
      <c r="P58" s="431" t="s">
        <v>172</v>
      </c>
      <c r="Q58" s="430">
        <f>C58*((100-Discounts!$B$6)/100)</f>
        <v>14.700000000000001</v>
      </c>
      <c r="R58" t="str">
        <f>IF(ISNUMBER(Table3[[#This Row],[Thickness]]), "Zenith", "")</f>
        <v>Zenith</v>
      </c>
      <c r="S58">
        <v>3</v>
      </c>
      <c r="T58">
        <v>200</v>
      </c>
    </row>
    <row r="59" spans="1:20" x14ac:dyDescent="0.85">
      <c r="A59" s="433" t="s">
        <v>83</v>
      </c>
      <c r="B59" s="429" t="s">
        <v>759</v>
      </c>
      <c r="C59" s="434">
        <v>47.5</v>
      </c>
      <c r="D59" s="434"/>
      <c r="E59" s="430" t="s">
        <v>757</v>
      </c>
      <c r="F59" s="435">
        <v>8</v>
      </c>
      <c r="G59" s="435">
        <v>1200</v>
      </c>
      <c r="H59" s="435">
        <v>5000</v>
      </c>
      <c r="I59" s="431" t="s">
        <v>777</v>
      </c>
      <c r="J59" s="432" t="s">
        <v>0</v>
      </c>
      <c r="K59" s="432">
        <v>-30</v>
      </c>
      <c r="L59" s="432">
        <v>70</v>
      </c>
      <c r="M59" s="436" t="s">
        <v>577</v>
      </c>
      <c r="N59" s="432">
        <v>70</v>
      </c>
      <c r="O59" s="435">
        <v>2</v>
      </c>
      <c r="P59" s="435" t="s">
        <v>172</v>
      </c>
      <c r="Q59" s="434">
        <f>C59*((100-Discounts!$B$6)/100)</f>
        <v>19</v>
      </c>
      <c r="R59" t="str">
        <f>IF(ISNUMBER(Table3[[#This Row],[Thickness]]), "Zenith", "")</f>
        <v>Zenith</v>
      </c>
      <c r="S59">
        <v>3</v>
      </c>
      <c r="T59">
        <v>200</v>
      </c>
    </row>
    <row r="60" spans="1:20" x14ac:dyDescent="0.85">
      <c r="A60" s="429" t="s">
        <v>83</v>
      </c>
      <c r="B60" s="429" t="s">
        <v>759</v>
      </c>
      <c r="C60" s="430">
        <v>47.5</v>
      </c>
      <c r="D60" s="430"/>
      <c r="E60" s="430" t="s">
        <v>757</v>
      </c>
      <c r="F60" s="431">
        <v>8</v>
      </c>
      <c r="G60" s="431">
        <v>1200</v>
      </c>
      <c r="H60" s="431">
        <v>10000</v>
      </c>
      <c r="I60" s="431" t="s">
        <v>777</v>
      </c>
      <c r="J60" s="432" t="s">
        <v>0</v>
      </c>
      <c r="K60" s="432">
        <v>-30</v>
      </c>
      <c r="L60" s="432">
        <v>70</v>
      </c>
      <c r="M60" s="436" t="s">
        <v>577</v>
      </c>
      <c r="N60" s="432">
        <v>70</v>
      </c>
      <c r="O60" s="431">
        <v>2</v>
      </c>
      <c r="P60" s="431" t="s">
        <v>172</v>
      </c>
      <c r="Q60" s="430">
        <f>C60*((100-Discounts!$B$6)/100)</f>
        <v>19</v>
      </c>
      <c r="R60" t="str">
        <f>IF(ISNUMBER(Table3[[#This Row],[Thickness]]), "Zenith", "")</f>
        <v>Zenith</v>
      </c>
      <c r="S60">
        <v>3</v>
      </c>
      <c r="T60">
        <v>200</v>
      </c>
    </row>
    <row r="61" spans="1:20" x14ac:dyDescent="0.85">
      <c r="A61" s="433" t="s">
        <v>83</v>
      </c>
      <c r="B61" s="429" t="s">
        <v>759</v>
      </c>
      <c r="C61" s="434">
        <v>47.5</v>
      </c>
      <c r="D61" s="434"/>
      <c r="E61" s="430" t="s">
        <v>757</v>
      </c>
      <c r="F61" s="435">
        <v>8</v>
      </c>
      <c r="G61" s="435">
        <v>1400</v>
      </c>
      <c r="H61" s="435">
        <v>5000</v>
      </c>
      <c r="I61" s="431" t="s">
        <v>777</v>
      </c>
      <c r="J61" s="432" t="s">
        <v>0</v>
      </c>
      <c r="K61" s="432">
        <v>-30</v>
      </c>
      <c r="L61" s="432">
        <v>70</v>
      </c>
      <c r="M61" s="436" t="s">
        <v>577</v>
      </c>
      <c r="N61" s="432">
        <v>70</v>
      </c>
      <c r="O61" s="435">
        <v>2</v>
      </c>
      <c r="P61" s="435" t="s">
        <v>172</v>
      </c>
      <c r="Q61" s="434">
        <f>C61*((100-Discounts!$B$6)/100)</f>
        <v>19</v>
      </c>
      <c r="R61" t="str">
        <f>IF(ISNUMBER(Table3[[#This Row],[Thickness]]), "Zenith", "")</f>
        <v>Zenith</v>
      </c>
      <c r="S61">
        <v>3</v>
      </c>
      <c r="T61">
        <v>200</v>
      </c>
    </row>
    <row r="62" spans="1:20" x14ac:dyDescent="0.85">
      <c r="A62" s="429" t="s">
        <v>83</v>
      </c>
      <c r="B62" s="429" t="s">
        <v>759</v>
      </c>
      <c r="C62" s="430">
        <v>47.5</v>
      </c>
      <c r="D62" s="430"/>
      <c r="E62" s="430" t="s">
        <v>757</v>
      </c>
      <c r="F62" s="431">
        <v>8</v>
      </c>
      <c r="G62" s="431">
        <v>1400</v>
      </c>
      <c r="H62" s="431">
        <v>10000</v>
      </c>
      <c r="I62" s="431" t="s">
        <v>777</v>
      </c>
      <c r="J62" s="432" t="s">
        <v>0</v>
      </c>
      <c r="K62" s="432">
        <v>-30</v>
      </c>
      <c r="L62" s="432">
        <v>70</v>
      </c>
      <c r="M62" s="436" t="s">
        <v>577</v>
      </c>
      <c r="N62" s="432">
        <v>70</v>
      </c>
      <c r="O62" s="431">
        <v>2</v>
      </c>
      <c r="P62" s="431" t="s">
        <v>172</v>
      </c>
      <c r="Q62" s="430">
        <f>C62*((100-Discounts!$B$6)/100)</f>
        <v>19</v>
      </c>
      <c r="R62" t="str">
        <f>IF(ISNUMBER(Table3[[#This Row],[Thickness]]), "Zenith", "")</f>
        <v>Zenith</v>
      </c>
      <c r="S62">
        <v>3</v>
      </c>
      <c r="T62">
        <v>200</v>
      </c>
    </row>
    <row r="63" spans="1:20" x14ac:dyDescent="0.85">
      <c r="A63" s="433" t="s">
        <v>83</v>
      </c>
      <c r="B63" s="429" t="s">
        <v>759</v>
      </c>
      <c r="C63" s="434">
        <v>47.5</v>
      </c>
      <c r="D63" s="434"/>
      <c r="E63" s="430" t="s">
        <v>757</v>
      </c>
      <c r="F63" s="435">
        <v>8</v>
      </c>
      <c r="G63" s="435">
        <v>1500</v>
      </c>
      <c r="H63" s="435">
        <v>5000</v>
      </c>
      <c r="I63" s="431" t="s">
        <v>777</v>
      </c>
      <c r="J63" s="432" t="s">
        <v>0</v>
      </c>
      <c r="K63" s="432">
        <v>-30</v>
      </c>
      <c r="L63" s="432">
        <v>70</v>
      </c>
      <c r="M63" s="436" t="s">
        <v>577</v>
      </c>
      <c r="N63" s="432">
        <v>70</v>
      </c>
      <c r="O63" s="435">
        <v>2</v>
      </c>
      <c r="P63" s="435" t="s">
        <v>172</v>
      </c>
      <c r="Q63" s="434">
        <f>C63*((100-Discounts!$B$6)/100)</f>
        <v>19</v>
      </c>
      <c r="R63" t="str">
        <f>IF(ISNUMBER(Table3[[#This Row],[Thickness]]), "Zenith", "")</f>
        <v>Zenith</v>
      </c>
      <c r="S63">
        <v>3</v>
      </c>
      <c r="T63">
        <v>200</v>
      </c>
    </row>
    <row r="64" spans="1:20" x14ac:dyDescent="0.85">
      <c r="A64" s="429" t="s">
        <v>85</v>
      </c>
      <c r="B64" s="429" t="s">
        <v>759</v>
      </c>
      <c r="C64" s="430">
        <v>58</v>
      </c>
      <c r="D64" s="430"/>
      <c r="E64" s="430" t="s">
        <v>757</v>
      </c>
      <c r="F64" s="431">
        <v>10</v>
      </c>
      <c r="G64" s="431">
        <v>1200</v>
      </c>
      <c r="H64" s="431">
        <v>10000</v>
      </c>
      <c r="I64" s="431" t="s">
        <v>777</v>
      </c>
      <c r="J64" s="432" t="s">
        <v>0</v>
      </c>
      <c r="K64" s="432">
        <v>-30</v>
      </c>
      <c r="L64" s="432">
        <v>70</v>
      </c>
      <c r="M64" s="436" t="s">
        <v>577</v>
      </c>
      <c r="N64" s="432">
        <v>70</v>
      </c>
      <c r="O64" s="431">
        <v>2</v>
      </c>
      <c r="P64" s="431" t="s">
        <v>172</v>
      </c>
      <c r="Q64" s="430">
        <f>C64*((100-Discounts!$B$6)/100)</f>
        <v>23.200000000000003</v>
      </c>
      <c r="R64" t="str">
        <f>IF(ISNUMBER(Table3[[#This Row],[Thickness]]), "Zenith", "")</f>
        <v>Zenith</v>
      </c>
      <c r="S64">
        <v>3</v>
      </c>
      <c r="T64">
        <v>200</v>
      </c>
    </row>
    <row r="65" spans="1:20" x14ac:dyDescent="0.85">
      <c r="A65" s="433" t="s">
        <v>85</v>
      </c>
      <c r="B65" s="429" t="s">
        <v>759</v>
      </c>
      <c r="C65" s="434">
        <v>58</v>
      </c>
      <c r="D65" s="434"/>
      <c r="E65" s="430" t="s">
        <v>757</v>
      </c>
      <c r="F65" s="435">
        <v>10</v>
      </c>
      <c r="G65" s="435">
        <v>1400</v>
      </c>
      <c r="H65" s="435">
        <v>5000</v>
      </c>
      <c r="I65" s="431" t="s">
        <v>777</v>
      </c>
      <c r="J65" s="432" t="s">
        <v>0</v>
      </c>
      <c r="K65" s="432">
        <v>-30</v>
      </c>
      <c r="L65" s="432">
        <v>70</v>
      </c>
      <c r="M65" s="436" t="s">
        <v>577</v>
      </c>
      <c r="N65" s="432">
        <v>70</v>
      </c>
      <c r="O65" s="435">
        <v>2</v>
      </c>
      <c r="P65" s="435" t="s">
        <v>172</v>
      </c>
      <c r="Q65" s="434">
        <f>C65*((100-Discounts!$B$6)/100)</f>
        <v>23.200000000000003</v>
      </c>
      <c r="R65" t="str">
        <f>IF(ISNUMBER(Table3[[#This Row],[Thickness]]), "Zenith", "")</f>
        <v>Zenith</v>
      </c>
      <c r="S65">
        <v>3</v>
      </c>
      <c r="T65">
        <v>200</v>
      </c>
    </row>
    <row r="66" spans="1:20" ht="27" thickBot="1" x14ac:dyDescent="0.9">
      <c r="A66" s="345"/>
      <c r="B66" s="346"/>
      <c r="C66" s="347"/>
      <c r="D66" s="347"/>
      <c r="E66" s="347"/>
      <c r="F66" s="341" t="s">
        <v>331</v>
      </c>
      <c r="G66" s="341">
        <v>0</v>
      </c>
      <c r="H66" s="323">
        <v>0</v>
      </c>
      <c r="I66" s="217" t="s">
        <v>777</v>
      </c>
      <c r="J66" t="s">
        <v>0</v>
      </c>
      <c r="K66">
        <v>-30</v>
      </c>
      <c r="L66">
        <v>70</v>
      </c>
      <c r="M66" s="348" t="s">
        <v>577</v>
      </c>
      <c r="N66" s="349">
        <v>70</v>
      </c>
      <c r="O66" s="344"/>
      <c r="P66" s="323"/>
      <c r="Q66" s="350" t="s">
        <v>323</v>
      </c>
      <c r="R66" t="str">
        <f>IF(ISNUMBER(Table3[[#This Row],[Thickness]]), "Zenith", "")</f>
        <v/>
      </c>
    </row>
    <row r="67" spans="1:20" ht="54" thickTop="1" thickBot="1" x14ac:dyDescent="0.9">
      <c r="A67" s="92" t="s">
        <v>322</v>
      </c>
      <c r="B67" s="293"/>
      <c r="C67" s="224" t="s">
        <v>179</v>
      </c>
      <c r="D67" s="311"/>
      <c r="E67" s="311"/>
      <c r="F67" s="222" t="s">
        <v>320</v>
      </c>
      <c r="G67" s="222" t="e">
        <v>#VALUE!</v>
      </c>
      <c r="H67" s="223" t="e">
        <v>#VALUE!</v>
      </c>
      <c r="I67" s="217" t="s">
        <v>777</v>
      </c>
      <c r="J67" t="s">
        <v>0</v>
      </c>
      <c r="K67">
        <v>-30</v>
      </c>
      <c r="L67">
        <v>70</v>
      </c>
      <c r="M67" s="234" t="s">
        <v>577</v>
      </c>
      <c r="N67" s="230">
        <v>70</v>
      </c>
      <c r="O67" s="223" t="s">
        <v>171</v>
      </c>
      <c r="P67" s="223" t="s">
        <v>325</v>
      </c>
      <c r="Q67" s="224" t="s">
        <v>703</v>
      </c>
      <c r="R67" t="str">
        <f>IF(ISNUMBER(Table3[[#This Row],[Thickness]]), "Zenith", "")</f>
        <v/>
      </c>
    </row>
    <row r="68" spans="1:20" ht="27" thickTop="1" x14ac:dyDescent="0.85">
      <c r="A68" s="429" t="s">
        <v>165</v>
      </c>
      <c r="B68" s="429" t="s">
        <v>331</v>
      </c>
      <c r="C68" s="430">
        <v>56.5</v>
      </c>
      <c r="D68" s="430"/>
      <c r="E68" s="430" t="s">
        <v>757</v>
      </c>
      <c r="F68" s="431">
        <v>10</v>
      </c>
      <c r="G68" s="431">
        <v>1000</v>
      </c>
      <c r="H68" s="431">
        <v>1000</v>
      </c>
      <c r="I68" s="431" t="s">
        <v>777</v>
      </c>
      <c r="J68" s="432" t="s">
        <v>0</v>
      </c>
      <c r="K68" s="432">
        <v>-30</v>
      </c>
      <c r="L68" s="432">
        <v>70</v>
      </c>
      <c r="M68" s="432" t="s">
        <v>577</v>
      </c>
      <c r="N68" s="432">
        <v>70</v>
      </c>
      <c r="O68" s="431" t="s">
        <v>168</v>
      </c>
      <c r="P68" s="431" t="s">
        <v>168</v>
      </c>
      <c r="Q68" s="430">
        <f>C68*((100-Discounts!$B$6)/100)</f>
        <v>22.6</v>
      </c>
      <c r="R68" t="str">
        <f>IF(ISNUMBER(Table3[[#This Row],[Thickness]]), "Zenith", "")</f>
        <v>Zenith</v>
      </c>
      <c r="S68">
        <v>3</v>
      </c>
      <c r="T68">
        <v>200</v>
      </c>
    </row>
    <row r="69" spans="1:20" x14ac:dyDescent="0.85">
      <c r="A69" s="433" t="s">
        <v>88</v>
      </c>
      <c r="B69" s="429" t="s">
        <v>331</v>
      </c>
      <c r="C69" s="434">
        <v>83.75</v>
      </c>
      <c r="D69" s="434"/>
      <c r="E69" s="430" t="s">
        <v>757</v>
      </c>
      <c r="F69" s="435">
        <v>15</v>
      </c>
      <c r="G69" s="435">
        <v>1000</v>
      </c>
      <c r="H69" s="435">
        <v>1000</v>
      </c>
      <c r="I69" s="431" t="s">
        <v>777</v>
      </c>
      <c r="J69" s="432" t="s">
        <v>0</v>
      </c>
      <c r="K69" s="432">
        <v>-30</v>
      </c>
      <c r="L69" s="432">
        <v>70</v>
      </c>
      <c r="M69" s="432" t="s">
        <v>577</v>
      </c>
      <c r="N69" s="432">
        <v>70</v>
      </c>
      <c r="O69" s="435" t="s">
        <v>168</v>
      </c>
      <c r="P69" s="435" t="s">
        <v>168</v>
      </c>
      <c r="Q69" s="434">
        <f>C69*((100-Discounts!$B$6)/100)</f>
        <v>33.5</v>
      </c>
      <c r="R69" t="str">
        <f>IF(ISNUMBER(Table3[[#This Row],[Thickness]]), "Zenith", "")</f>
        <v>Zenith</v>
      </c>
      <c r="S69">
        <v>3</v>
      </c>
      <c r="T69">
        <v>200</v>
      </c>
    </row>
    <row r="70" spans="1:20" x14ac:dyDescent="0.85">
      <c r="A70" s="429" t="s">
        <v>90</v>
      </c>
      <c r="B70" s="429" t="s">
        <v>331</v>
      </c>
      <c r="C70" s="430">
        <v>111.5</v>
      </c>
      <c r="D70" s="430"/>
      <c r="E70" s="430" t="s">
        <v>757</v>
      </c>
      <c r="F70" s="431">
        <v>20</v>
      </c>
      <c r="G70" s="431">
        <v>1000</v>
      </c>
      <c r="H70" s="431">
        <v>1000</v>
      </c>
      <c r="I70" s="431" t="s">
        <v>777</v>
      </c>
      <c r="J70" s="432" t="s">
        <v>0</v>
      </c>
      <c r="K70" s="432">
        <v>-30</v>
      </c>
      <c r="L70" s="432">
        <v>70</v>
      </c>
      <c r="M70" s="432" t="s">
        <v>577</v>
      </c>
      <c r="N70" s="432">
        <v>70</v>
      </c>
      <c r="O70" s="431" t="s">
        <v>168</v>
      </c>
      <c r="P70" s="431" t="s">
        <v>168</v>
      </c>
      <c r="Q70" s="430">
        <f>C70*((100-Discounts!$B$6)/100)</f>
        <v>44.6</v>
      </c>
      <c r="R70" t="str">
        <f>IF(ISNUMBER(Table3[[#This Row],[Thickness]]), "Zenith", "")</f>
        <v>Zenith</v>
      </c>
      <c r="S70">
        <v>3</v>
      </c>
      <c r="T70">
        <v>200</v>
      </c>
    </row>
    <row r="71" spans="1:20" x14ac:dyDescent="0.85">
      <c r="A71" s="433" t="s">
        <v>327</v>
      </c>
      <c r="B71" s="429" t="s">
        <v>331</v>
      </c>
      <c r="C71" s="434">
        <v>167.25</v>
      </c>
      <c r="D71" s="434"/>
      <c r="E71" s="430" t="s">
        <v>757</v>
      </c>
      <c r="F71" s="435">
        <v>20</v>
      </c>
      <c r="G71" s="435">
        <v>1500</v>
      </c>
      <c r="H71" s="435">
        <v>1000</v>
      </c>
      <c r="I71" s="431" t="s">
        <v>777</v>
      </c>
      <c r="J71" s="432" t="s">
        <v>0</v>
      </c>
      <c r="K71" s="432">
        <v>-30</v>
      </c>
      <c r="L71" s="432">
        <v>70</v>
      </c>
      <c r="M71" s="432" t="s">
        <v>577</v>
      </c>
      <c r="N71" s="432">
        <v>70</v>
      </c>
      <c r="O71" s="435" t="s">
        <v>168</v>
      </c>
      <c r="P71" s="435" t="s">
        <v>168</v>
      </c>
      <c r="Q71" s="434">
        <f>C71*((100-Discounts!$B$6)/100)</f>
        <v>66.900000000000006</v>
      </c>
      <c r="R71" t="str">
        <f>IF(ISNUMBER(Table3[[#This Row],[Thickness]]), "Zenith", "")</f>
        <v>Zenith</v>
      </c>
      <c r="S71">
        <v>3</v>
      </c>
      <c r="T71">
        <v>200</v>
      </c>
    </row>
    <row r="72" spans="1:20" x14ac:dyDescent="0.85">
      <c r="A72" s="429" t="s">
        <v>91</v>
      </c>
      <c r="B72" s="429" t="s">
        <v>331</v>
      </c>
      <c r="C72" s="430">
        <v>137.5</v>
      </c>
      <c r="D72" s="430"/>
      <c r="E72" s="430" t="s">
        <v>757</v>
      </c>
      <c r="F72" s="431">
        <v>25</v>
      </c>
      <c r="G72" s="431">
        <v>1000</v>
      </c>
      <c r="H72" s="431">
        <v>1000</v>
      </c>
      <c r="I72" s="431" t="s">
        <v>777</v>
      </c>
      <c r="J72" s="432" t="s">
        <v>0</v>
      </c>
      <c r="K72" s="432">
        <v>-30</v>
      </c>
      <c r="L72" s="432">
        <v>70</v>
      </c>
      <c r="M72" s="432" t="s">
        <v>577</v>
      </c>
      <c r="N72" s="432">
        <v>70</v>
      </c>
      <c r="O72" s="431" t="s">
        <v>168</v>
      </c>
      <c r="P72" s="431" t="s">
        <v>168</v>
      </c>
      <c r="Q72" s="430">
        <f>C72*((100-Discounts!$B$6)/100)</f>
        <v>55</v>
      </c>
      <c r="R72" t="str">
        <f>IF(ISNUMBER(Table3[[#This Row],[Thickness]]), "Zenith", "")</f>
        <v>Zenith</v>
      </c>
      <c r="S72">
        <v>3</v>
      </c>
      <c r="T72">
        <v>200</v>
      </c>
    </row>
    <row r="73" spans="1:20" x14ac:dyDescent="0.85">
      <c r="A73" s="433" t="s">
        <v>328</v>
      </c>
      <c r="B73" s="429" t="s">
        <v>331</v>
      </c>
      <c r="C73" s="434">
        <v>206.25</v>
      </c>
      <c r="D73" s="434"/>
      <c r="E73" s="430" t="s">
        <v>757</v>
      </c>
      <c r="F73" s="435">
        <v>25</v>
      </c>
      <c r="G73" s="435">
        <v>1500</v>
      </c>
      <c r="H73" s="435">
        <v>1000</v>
      </c>
      <c r="I73" s="431" t="s">
        <v>777</v>
      </c>
      <c r="J73" s="432" t="s">
        <v>0</v>
      </c>
      <c r="K73" s="432">
        <v>-30</v>
      </c>
      <c r="L73" s="432">
        <v>70</v>
      </c>
      <c r="M73" s="432" t="s">
        <v>577</v>
      </c>
      <c r="N73" s="432">
        <v>70</v>
      </c>
      <c r="O73" s="435" t="s">
        <v>168</v>
      </c>
      <c r="P73" s="435" t="s">
        <v>168</v>
      </c>
      <c r="Q73" s="434">
        <f>C73*((100-Discounts!$B$6)/100)</f>
        <v>82.5</v>
      </c>
      <c r="R73" t="str">
        <f>IF(ISNUMBER(Table3[[#This Row],[Thickness]]), "Zenith", "")</f>
        <v>Zenith</v>
      </c>
      <c r="S73">
        <v>3</v>
      </c>
      <c r="T73">
        <v>200</v>
      </c>
    </row>
    <row r="74" spans="1:20" x14ac:dyDescent="0.85">
      <c r="A74" s="429" t="s">
        <v>92</v>
      </c>
      <c r="B74" s="429" t="s">
        <v>331</v>
      </c>
      <c r="C74" s="430">
        <v>171.75</v>
      </c>
      <c r="D74" s="430"/>
      <c r="E74" s="430" t="s">
        <v>757</v>
      </c>
      <c r="F74" s="431">
        <v>30</v>
      </c>
      <c r="G74" s="431">
        <v>1000</v>
      </c>
      <c r="H74" s="431">
        <v>1000</v>
      </c>
      <c r="I74" s="431" t="s">
        <v>777</v>
      </c>
      <c r="J74" s="432" t="s">
        <v>0</v>
      </c>
      <c r="K74" s="432">
        <v>-30</v>
      </c>
      <c r="L74" s="432">
        <v>70</v>
      </c>
      <c r="M74" s="432" t="s">
        <v>577</v>
      </c>
      <c r="N74" s="432">
        <v>70</v>
      </c>
      <c r="O74" s="431" t="s">
        <v>168</v>
      </c>
      <c r="P74" s="431" t="s">
        <v>168</v>
      </c>
      <c r="Q74" s="430">
        <f>C74*((100-Discounts!$B$6)/100)</f>
        <v>68.7</v>
      </c>
      <c r="R74" t="str">
        <f>IF(ISNUMBER(Table3[[#This Row],[Thickness]]), "Zenith", "")</f>
        <v>Zenith</v>
      </c>
      <c r="S74">
        <v>3</v>
      </c>
      <c r="T74">
        <v>200</v>
      </c>
    </row>
    <row r="75" spans="1:20" x14ac:dyDescent="0.85">
      <c r="A75" s="433" t="s">
        <v>329</v>
      </c>
      <c r="B75" s="429" t="s">
        <v>331</v>
      </c>
      <c r="C75" s="434">
        <v>257.75</v>
      </c>
      <c r="D75" s="434"/>
      <c r="E75" s="430" t="s">
        <v>757</v>
      </c>
      <c r="F75" s="435">
        <v>30</v>
      </c>
      <c r="G75" s="435">
        <v>1500</v>
      </c>
      <c r="H75" s="435">
        <v>1000</v>
      </c>
      <c r="I75" s="431" t="s">
        <v>777</v>
      </c>
      <c r="J75" s="432" t="s">
        <v>0</v>
      </c>
      <c r="K75" s="432">
        <v>-30</v>
      </c>
      <c r="L75" s="432">
        <v>70</v>
      </c>
      <c r="M75" s="432" t="s">
        <v>577</v>
      </c>
      <c r="N75" s="432">
        <v>70</v>
      </c>
      <c r="O75" s="435" t="s">
        <v>168</v>
      </c>
      <c r="P75" s="435" t="s">
        <v>168</v>
      </c>
      <c r="Q75" s="434">
        <f>C75*((100-Discounts!$B$6)/100)</f>
        <v>103.10000000000001</v>
      </c>
      <c r="R75" t="str">
        <f>IF(ISNUMBER(Table3[[#This Row],[Thickness]]), "Zenith", "")</f>
        <v>Zenith</v>
      </c>
      <c r="S75">
        <v>3</v>
      </c>
      <c r="T75">
        <v>200</v>
      </c>
    </row>
    <row r="76" spans="1:20" x14ac:dyDescent="0.85">
      <c r="A76" s="429" t="s">
        <v>93</v>
      </c>
      <c r="B76" s="429" t="s">
        <v>331</v>
      </c>
      <c r="C76" s="430">
        <v>241.25</v>
      </c>
      <c r="D76" s="430"/>
      <c r="E76" s="430" t="s">
        <v>757</v>
      </c>
      <c r="F76" s="431">
        <v>40</v>
      </c>
      <c r="G76" s="431">
        <v>1000</v>
      </c>
      <c r="H76" s="431">
        <v>1000</v>
      </c>
      <c r="I76" s="431" t="s">
        <v>777</v>
      </c>
      <c r="J76" s="432" t="s">
        <v>0</v>
      </c>
      <c r="K76" s="432">
        <v>-30</v>
      </c>
      <c r="L76" s="432">
        <v>70</v>
      </c>
      <c r="M76" s="432" t="s">
        <v>577</v>
      </c>
      <c r="N76" s="432">
        <v>70</v>
      </c>
      <c r="O76" s="431" t="s">
        <v>168</v>
      </c>
      <c r="P76" s="431" t="s">
        <v>168</v>
      </c>
      <c r="Q76" s="430">
        <f>C76*((100-Discounts!$B$6)/100)</f>
        <v>96.5</v>
      </c>
      <c r="R76" t="str">
        <f>IF(ISNUMBER(Table3[[#This Row],[Thickness]]), "Zenith", "")</f>
        <v>Zenith</v>
      </c>
      <c r="S76">
        <v>3</v>
      </c>
      <c r="T76">
        <v>200</v>
      </c>
    </row>
    <row r="77" spans="1:20" x14ac:dyDescent="0.85">
      <c r="A77" s="433" t="s">
        <v>330</v>
      </c>
      <c r="B77" s="429" t="s">
        <v>331</v>
      </c>
      <c r="C77" s="434">
        <v>362</v>
      </c>
      <c r="D77" s="434"/>
      <c r="E77" s="430" t="s">
        <v>757</v>
      </c>
      <c r="F77" s="435">
        <v>40</v>
      </c>
      <c r="G77" s="435">
        <v>1500</v>
      </c>
      <c r="H77" s="435">
        <v>1000</v>
      </c>
      <c r="I77" s="431" t="s">
        <v>777</v>
      </c>
      <c r="J77" s="432" t="s">
        <v>0</v>
      </c>
      <c r="K77" s="432">
        <v>-30</v>
      </c>
      <c r="L77" s="432">
        <v>70</v>
      </c>
      <c r="M77" s="432" t="s">
        <v>577</v>
      </c>
      <c r="N77" s="432">
        <v>70</v>
      </c>
      <c r="O77" s="435" t="s">
        <v>168</v>
      </c>
      <c r="P77" s="435" t="s">
        <v>168</v>
      </c>
      <c r="Q77" s="434">
        <f>C77*((100-Discounts!$B$6)/100)</f>
        <v>144.80000000000001</v>
      </c>
      <c r="R77" t="str">
        <f>IF(ISNUMBER(Table3[[#This Row],[Thickness]]), "Zenith", "")</f>
        <v>Zenith</v>
      </c>
      <c r="S77">
        <v>3</v>
      </c>
      <c r="T77">
        <v>200</v>
      </c>
    </row>
    <row r="78" spans="1:20" x14ac:dyDescent="0.85">
      <c r="A78" s="429" t="s">
        <v>94</v>
      </c>
      <c r="B78" s="429" t="s">
        <v>331</v>
      </c>
      <c r="C78" s="430">
        <v>317</v>
      </c>
      <c r="D78" s="430"/>
      <c r="E78" s="430" t="s">
        <v>757</v>
      </c>
      <c r="F78" s="431">
        <v>50</v>
      </c>
      <c r="G78" s="431">
        <v>1000</v>
      </c>
      <c r="H78" s="431">
        <v>1000</v>
      </c>
      <c r="I78" s="431" t="s">
        <v>777</v>
      </c>
      <c r="J78" s="432" t="s">
        <v>0</v>
      </c>
      <c r="K78" s="432">
        <v>-30</v>
      </c>
      <c r="L78" s="432">
        <v>70</v>
      </c>
      <c r="M78" s="432" t="s">
        <v>577</v>
      </c>
      <c r="N78" s="432">
        <v>70</v>
      </c>
      <c r="O78" s="431" t="s">
        <v>168</v>
      </c>
      <c r="P78" s="431" t="s">
        <v>168</v>
      </c>
      <c r="Q78" s="430">
        <f>C78*((100-Discounts!$B$6)/100)</f>
        <v>126.80000000000001</v>
      </c>
      <c r="R78" t="str">
        <f>IF(ISNUMBER(Table3[[#This Row],[Thickness]]), "Zenith", "")</f>
        <v>Zenith</v>
      </c>
      <c r="S78">
        <v>3</v>
      </c>
      <c r="T78">
        <v>200</v>
      </c>
    </row>
    <row r="79" spans="1:20" ht="27" thickBot="1" x14ac:dyDescent="0.9">
      <c r="A79" s="345"/>
      <c r="B79" s="346"/>
      <c r="C79" s="347"/>
      <c r="D79" s="347"/>
      <c r="E79" s="347"/>
      <c r="F79" s="351" t="s">
        <v>343</v>
      </c>
      <c r="G79" s="351">
        <v>0</v>
      </c>
      <c r="H79" s="323">
        <v>0</v>
      </c>
      <c r="I79" s="217" t="s">
        <v>777</v>
      </c>
      <c r="J79" t="s">
        <v>0</v>
      </c>
      <c r="K79">
        <v>-30</v>
      </c>
      <c r="L79">
        <v>70</v>
      </c>
      <c r="M79" s="352" t="s">
        <v>577</v>
      </c>
      <c r="N79" s="349">
        <v>70</v>
      </c>
      <c r="O79" s="323"/>
      <c r="P79" s="323"/>
      <c r="Q79" s="350" t="s">
        <v>323</v>
      </c>
      <c r="R79" t="str">
        <f>IF(ISNUMBER(Table3[[#This Row],[Thickness]]), "Zenith", "")</f>
        <v/>
      </c>
    </row>
    <row r="80" spans="1:20" ht="54" thickTop="1" thickBot="1" x14ac:dyDescent="0.9">
      <c r="A80" s="96" t="s">
        <v>322</v>
      </c>
      <c r="B80" s="293"/>
      <c r="C80" s="224" t="s">
        <v>179</v>
      </c>
      <c r="D80" s="311"/>
      <c r="E80" s="311"/>
      <c r="F80" s="222" t="s">
        <v>320</v>
      </c>
      <c r="G80" s="222" t="e">
        <v>#VALUE!</v>
      </c>
      <c r="H80" s="223" t="e">
        <v>#VALUE!</v>
      </c>
      <c r="I80" s="217" t="s">
        <v>777</v>
      </c>
      <c r="J80" t="s">
        <v>0</v>
      </c>
      <c r="K80">
        <v>-30</v>
      </c>
      <c r="L80">
        <v>70</v>
      </c>
      <c r="M80" s="234" t="s">
        <v>577</v>
      </c>
      <c r="N80" s="233"/>
      <c r="O80" s="223" t="s">
        <v>171</v>
      </c>
      <c r="P80" s="223" t="s">
        <v>325</v>
      </c>
      <c r="Q80" s="224" t="s">
        <v>199</v>
      </c>
      <c r="R80" t="str">
        <f>IF(ISNUMBER(Table3[[#This Row],[Thickness]]), "Zenith", "")</f>
        <v/>
      </c>
    </row>
    <row r="81" spans="1:20" ht="27" thickTop="1" x14ac:dyDescent="0.85">
      <c r="A81" s="429" t="s">
        <v>332</v>
      </c>
      <c r="B81" s="429" t="s">
        <v>343</v>
      </c>
      <c r="C81" s="430">
        <v>9</v>
      </c>
      <c r="D81" s="430"/>
      <c r="E81" s="430" t="s">
        <v>757</v>
      </c>
      <c r="F81" s="431">
        <v>1</v>
      </c>
      <c r="G81" s="431">
        <v>1400</v>
      </c>
      <c r="H81" s="431">
        <v>20000</v>
      </c>
      <c r="I81" s="431" t="s">
        <v>777</v>
      </c>
      <c r="J81" s="432" t="s">
        <v>0</v>
      </c>
      <c r="K81" s="432">
        <v>-30</v>
      </c>
      <c r="L81" s="432">
        <v>70</v>
      </c>
      <c r="M81" s="432" t="s">
        <v>577</v>
      </c>
      <c r="N81" s="432">
        <v>60</v>
      </c>
      <c r="O81" s="431" t="s">
        <v>168</v>
      </c>
      <c r="P81" s="431" t="s">
        <v>168</v>
      </c>
      <c r="Q81" s="430">
        <f>C81*((100-Discounts!$B$7)/100)</f>
        <v>3.15</v>
      </c>
      <c r="R81" t="str">
        <f>IF(ISNUMBER(Table3[[#This Row],[Thickness]]), "Zenith", "")</f>
        <v>Zenith</v>
      </c>
      <c r="S81">
        <v>6</v>
      </c>
      <c r="T81">
        <v>250</v>
      </c>
    </row>
    <row r="82" spans="1:20" x14ac:dyDescent="0.85">
      <c r="A82" s="433" t="s">
        <v>333</v>
      </c>
      <c r="B82" s="429" t="s">
        <v>343</v>
      </c>
      <c r="C82" s="434">
        <v>13</v>
      </c>
      <c r="D82" s="434"/>
      <c r="E82" s="430" t="s">
        <v>757</v>
      </c>
      <c r="F82" s="435">
        <v>1.5</v>
      </c>
      <c r="G82" s="435">
        <v>1400</v>
      </c>
      <c r="H82" s="435">
        <v>15000</v>
      </c>
      <c r="I82" s="431" t="s">
        <v>777</v>
      </c>
      <c r="J82" s="432" t="s">
        <v>0</v>
      </c>
      <c r="K82" s="432">
        <v>-30</v>
      </c>
      <c r="L82" s="432">
        <v>70</v>
      </c>
      <c r="M82" s="432" t="s">
        <v>577</v>
      </c>
      <c r="N82" s="432">
        <v>60</v>
      </c>
      <c r="O82" s="435" t="s">
        <v>168</v>
      </c>
      <c r="P82" s="435" t="s">
        <v>168</v>
      </c>
      <c r="Q82" s="434">
        <f>C82*((100-Discounts!$B$7)/100)</f>
        <v>4.55</v>
      </c>
      <c r="R82" t="str">
        <f>IF(ISNUMBER(Table3[[#This Row],[Thickness]]), "Zenith", "")</f>
        <v>Zenith</v>
      </c>
      <c r="S82">
        <v>6</v>
      </c>
      <c r="T82">
        <v>250</v>
      </c>
    </row>
    <row r="83" spans="1:20" x14ac:dyDescent="0.85">
      <c r="A83" s="429" t="s">
        <v>334</v>
      </c>
      <c r="B83" s="429" t="s">
        <v>343</v>
      </c>
      <c r="C83" s="430">
        <v>17</v>
      </c>
      <c r="D83" s="430"/>
      <c r="E83" s="430" t="s">
        <v>757</v>
      </c>
      <c r="F83" s="431">
        <v>2</v>
      </c>
      <c r="G83" s="431">
        <v>1400</v>
      </c>
      <c r="H83" s="431">
        <v>10000</v>
      </c>
      <c r="I83" s="431" t="s">
        <v>777</v>
      </c>
      <c r="J83" s="432" t="s">
        <v>0</v>
      </c>
      <c r="K83" s="432">
        <v>-30</v>
      </c>
      <c r="L83" s="432">
        <v>70</v>
      </c>
      <c r="M83" s="432" t="s">
        <v>577</v>
      </c>
      <c r="N83" s="432">
        <v>60</v>
      </c>
      <c r="O83" s="431" t="s">
        <v>168</v>
      </c>
      <c r="P83" s="431" t="s">
        <v>168</v>
      </c>
      <c r="Q83" s="430">
        <f>C83*((100-Discounts!$B$7)/100)</f>
        <v>5.9499999999999993</v>
      </c>
      <c r="R83" t="str">
        <f>IF(ISNUMBER(Table3[[#This Row],[Thickness]]), "Zenith", "")</f>
        <v>Zenith</v>
      </c>
      <c r="S83">
        <v>6</v>
      </c>
      <c r="T83">
        <v>250</v>
      </c>
    </row>
    <row r="84" spans="1:20" x14ac:dyDescent="0.85">
      <c r="A84" s="433" t="s">
        <v>335</v>
      </c>
      <c r="B84" s="429" t="s">
        <v>343</v>
      </c>
      <c r="C84" s="434">
        <v>24.5</v>
      </c>
      <c r="D84" s="434"/>
      <c r="E84" s="430" t="s">
        <v>757</v>
      </c>
      <c r="F84" s="435">
        <v>3</v>
      </c>
      <c r="G84" s="435">
        <v>1400</v>
      </c>
      <c r="H84" s="435">
        <v>10000</v>
      </c>
      <c r="I84" s="431" t="s">
        <v>777</v>
      </c>
      <c r="J84" s="432" t="s">
        <v>0</v>
      </c>
      <c r="K84" s="432">
        <v>-30</v>
      </c>
      <c r="L84" s="432">
        <v>70</v>
      </c>
      <c r="M84" s="432" t="s">
        <v>577</v>
      </c>
      <c r="N84" s="432">
        <v>60</v>
      </c>
      <c r="O84" s="435" t="s">
        <v>168</v>
      </c>
      <c r="P84" s="435" t="s">
        <v>168</v>
      </c>
      <c r="Q84" s="434">
        <f>C84*((100-Discounts!$B$7)/100)</f>
        <v>8.5749999999999993</v>
      </c>
      <c r="R84" t="str">
        <f>IF(ISNUMBER(Table3[[#This Row],[Thickness]]), "Zenith", "")</f>
        <v>Zenith</v>
      </c>
      <c r="S84">
        <v>6</v>
      </c>
      <c r="T84">
        <v>250</v>
      </c>
    </row>
    <row r="85" spans="1:20" x14ac:dyDescent="0.85">
      <c r="A85" s="429" t="s">
        <v>336</v>
      </c>
      <c r="B85" s="429" t="s">
        <v>343</v>
      </c>
      <c r="C85" s="430">
        <v>32.5</v>
      </c>
      <c r="D85" s="430"/>
      <c r="E85" s="430" t="s">
        <v>757</v>
      </c>
      <c r="F85" s="431">
        <v>4</v>
      </c>
      <c r="G85" s="431">
        <v>1400</v>
      </c>
      <c r="H85" s="431">
        <v>10000</v>
      </c>
      <c r="I85" s="431" t="s">
        <v>777</v>
      </c>
      <c r="J85" s="432" t="s">
        <v>0</v>
      </c>
      <c r="K85" s="432">
        <v>-30</v>
      </c>
      <c r="L85" s="432">
        <v>70</v>
      </c>
      <c r="M85" s="432" t="s">
        <v>577</v>
      </c>
      <c r="N85" s="432">
        <v>60</v>
      </c>
      <c r="O85" s="431" t="s">
        <v>168</v>
      </c>
      <c r="P85" s="431" t="s">
        <v>168</v>
      </c>
      <c r="Q85" s="430">
        <f>C85*((100-Discounts!$B$7)/100)</f>
        <v>11.375</v>
      </c>
      <c r="R85" t="str">
        <f>IF(ISNUMBER(Table3[[#This Row],[Thickness]]), "Zenith", "")</f>
        <v>Zenith</v>
      </c>
      <c r="S85">
        <v>6</v>
      </c>
      <c r="T85">
        <v>250</v>
      </c>
    </row>
    <row r="86" spans="1:20" x14ac:dyDescent="0.85">
      <c r="A86" s="433" t="s">
        <v>337</v>
      </c>
      <c r="B86" s="429" t="s">
        <v>343</v>
      </c>
      <c r="C86" s="434">
        <v>40.75</v>
      </c>
      <c r="D86" s="434"/>
      <c r="E86" s="430" t="s">
        <v>757</v>
      </c>
      <c r="F86" s="435">
        <v>5</v>
      </c>
      <c r="G86" s="435">
        <v>1400</v>
      </c>
      <c r="H86" s="435">
        <v>10000</v>
      </c>
      <c r="I86" s="431" t="s">
        <v>777</v>
      </c>
      <c r="J86" s="432" t="s">
        <v>0</v>
      </c>
      <c r="K86" s="432">
        <v>-30</v>
      </c>
      <c r="L86" s="432">
        <v>70</v>
      </c>
      <c r="M86" s="432" t="s">
        <v>577</v>
      </c>
      <c r="N86" s="432">
        <v>60</v>
      </c>
      <c r="O86" s="435" t="s">
        <v>168</v>
      </c>
      <c r="P86" s="435" t="s">
        <v>168</v>
      </c>
      <c r="Q86" s="434">
        <f>C86*((100-Discounts!$B$7)/100)</f>
        <v>14.262499999999999</v>
      </c>
      <c r="R86" t="str">
        <f>IF(ISNUMBER(Table3[[#This Row],[Thickness]]), "Zenith", "")</f>
        <v>Zenith</v>
      </c>
      <c r="S86">
        <v>6</v>
      </c>
      <c r="T86">
        <v>250</v>
      </c>
    </row>
    <row r="87" spans="1:20" x14ac:dyDescent="0.85">
      <c r="A87" s="429" t="s">
        <v>338</v>
      </c>
      <c r="B87" s="429" t="s">
        <v>343</v>
      </c>
      <c r="C87" s="430">
        <v>48</v>
      </c>
      <c r="D87" s="430"/>
      <c r="E87" s="430" t="s">
        <v>757</v>
      </c>
      <c r="F87" s="431">
        <v>6</v>
      </c>
      <c r="G87" s="431">
        <v>1400</v>
      </c>
      <c r="H87" s="431">
        <v>10000</v>
      </c>
      <c r="I87" s="431" t="s">
        <v>777</v>
      </c>
      <c r="J87" s="432" t="s">
        <v>0</v>
      </c>
      <c r="K87" s="432">
        <v>-30</v>
      </c>
      <c r="L87" s="432">
        <v>70</v>
      </c>
      <c r="M87" s="432" t="s">
        <v>577</v>
      </c>
      <c r="N87" s="432">
        <v>60</v>
      </c>
      <c r="O87" s="431" t="s">
        <v>168</v>
      </c>
      <c r="P87" s="431" t="s">
        <v>168</v>
      </c>
      <c r="Q87" s="430">
        <f>C87*((100-Discounts!$B$7)/100)</f>
        <v>16.799999999999997</v>
      </c>
      <c r="R87" t="str">
        <f>IF(ISNUMBER(Table3[[#This Row],[Thickness]]), "Zenith", "")</f>
        <v>Zenith</v>
      </c>
      <c r="S87">
        <v>6</v>
      </c>
      <c r="T87">
        <v>250</v>
      </c>
    </row>
    <row r="88" spans="1:20" x14ac:dyDescent="0.85">
      <c r="A88" s="433" t="s">
        <v>338</v>
      </c>
      <c r="B88" s="429" t="s">
        <v>343</v>
      </c>
      <c r="C88" s="434">
        <v>48</v>
      </c>
      <c r="D88" s="434"/>
      <c r="E88" s="430" t="s">
        <v>757</v>
      </c>
      <c r="F88" s="435">
        <v>6</v>
      </c>
      <c r="G88" s="435">
        <v>1500</v>
      </c>
      <c r="H88" s="435">
        <v>10000</v>
      </c>
      <c r="I88" s="431" t="s">
        <v>777</v>
      </c>
      <c r="J88" s="432" t="s">
        <v>0</v>
      </c>
      <c r="K88" s="432">
        <v>-30</v>
      </c>
      <c r="L88" s="432">
        <v>70</v>
      </c>
      <c r="M88" s="432" t="s">
        <v>577</v>
      </c>
      <c r="N88" s="432">
        <v>60</v>
      </c>
      <c r="O88" s="435" t="s">
        <v>168</v>
      </c>
      <c r="P88" s="435" t="s">
        <v>168</v>
      </c>
      <c r="Q88" s="434">
        <f>C88*((100-Discounts!$B$7)/100)</f>
        <v>16.799999999999997</v>
      </c>
      <c r="R88" t="str">
        <f>IF(ISNUMBER(Table3[[#This Row],[Thickness]]), "Zenith", "")</f>
        <v>Zenith</v>
      </c>
      <c r="S88">
        <v>6</v>
      </c>
      <c r="T88">
        <v>250</v>
      </c>
    </row>
    <row r="89" spans="1:20" x14ac:dyDescent="0.85">
      <c r="A89" s="429" t="s">
        <v>339</v>
      </c>
      <c r="B89" s="429" t="s">
        <v>343</v>
      </c>
      <c r="C89" s="430">
        <v>63.75</v>
      </c>
      <c r="D89" s="430"/>
      <c r="E89" s="430" t="s">
        <v>757</v>
      </c>
      <c r="F89" s="431">
        <v>8</v>
      </c>
      <c r="G89" s="431">
        <v>1400</v>
      </c>
      <c r="H89" s="431">
        <v>10000</v>
      </c>
      <c r="I89" s="431" t="s">
        <v>777</v>
      </c>
      <c r="J89" s="432" t="s">
        <v>0</v>
      </c>
      <c r="K89" s="432">
        <v>-30</v>
      </c>
      <c r="L89" s="432">
        <v>70</v>
      </c>
      <c r="M89" s="432" t="s">
        <v>577</v>
      </c>
      <c r="N89" s="432">
        <v>60</v>
      </c>
      <c r="O89" s="431" t="s">
        <v>168</v>
      </c>
      <c r="P89" s="431" t="s">
        <v>168</v>
      </c>
      <c r="Q89" s="430">
        <f>C89*((100-Discounts!$B$7)/100)</f>
        <v>22.3125</v>
      </c>
      <c r="R89" t="str">
        <f>IF(ISNUMBER(Table3[[#This Row],[Thickness]]), "Zenith", "")</f>
        <v>Zenith</v>
      </c>
      <c r="S89">
        <v>6</v>
      </c>
      <c r="T89">
        <v>250</v>
      </c>
    </row>
    <row r="90" spans="1:20" x14ac:dyDescent="0.85">
      <c r="A90" s="433" t="s">
        <v>339</v>
      </c>
      <c r="B90" s="429" t="s">
        <v>343</v>
      </c>
      <c r="C90" s="434">
        <v>63.75</v>
      </c>
      <c r="D90" s="434"/>
      <c r="E90" s="430" t="s">
        <v>757</v>
      </c>
      <c r="F90" s="435">
        <v>8</v>
      </c>
      <c r="G90" s="435">
        <v>1400</v>
      </c>
      <c r="H90" s="435">
        <v>20000</v>
      </c>
      <c r="I90" s="431" t="s">
        <v>777</v>
      </c>
      <c r="J90" s="432" t="s">
        <v>0</v>
      </c>
      <c r="K90" s="432">
        <v>-30</v>
      </c>
      <c r="L90" s="432">
        <v>70</v>
      </c>
      <c r="M90" s="432" t="s">
        <v>577</v>
      </c>
      <c r="N90" s="432">
        <v>60</v>
      </c>
      <c r="O90" s="435" t="s">
        <v>168</v>
      </c>
      <c r="P90" s="435" t="s">
        <v>168</v>
      </c>
      <c r="Q90" s="434">
        <f>C90*((100-Discounts!$B$7)/100)</f>
        <v>22.3125</v>
      </c>
      <c r="R90" t="str">
        <f>IF(ISNUMBER(Table3[[#This Row],[Thickness]]), "Zenith", "")</f>
        <v>Zenith</v>
      </c>
      <c r="S90">
        <v>6</v>
      </c>
      <c r="T90">
        <v>250</v>
      </c>
    </row>
    <row r="91" spans="1:20" x14ac:dyDescent="0.85">
      <c r="A91" s="429" t="s">
        <v>340</v>
      </c>
      <c r="B91" s="429" t="s">
        <v>343</v>
      </c>
      <c r="C91" s="430">
        <v>79.25</v>
      </c>
      <c r="D91" s="430"/>
      <c r="E91" s="430" t="s">
        <v>757</v>
      </c>
      <c r="F91" s="431">
        <v>10</v>
      </c>
      <c r="G91" s="431">
        <v>1400</v>
      </c>
      <c r="H91" s="431">
        <v>10000</v>
      </c>
      <c r="I91" s="431" t="s">
        <v>777</v>
      </c>
      <c r="J91" s="432" t="s">
        <v>0</v>
      </c>
      <c r="K91" s="432">
        <v>-30</v>
      </c>
      <c r="L91" s="432">
        <v>70</v>
      </c>
      <c r="M91" s="432" t="s">
        <v>577</v>
      </c>
      <c r="N91" s="432">
        <v>60</v>
      </c>
      <c r="O91" s="431" t="s">
        <v>168</v>
      </c>
      <c r="P91" s="431" t="s">
        <v>168</v>
      </c>
      <c r="Q91" s="430">
        <f>C91*((100-Discounts!$B$7)/100)</f>
        <v>27.737499999999997</v>
      </c>
      <c r="R91" t="str">
        <f>IF(ISNUMBER(Table3[[#This Row],[Thickness]]), "Zenith", "")</f>
        <v>Zenith</v>
      </c>
      <c r="S91">
        <v>6</v>
      </c>
      <c r="T91">
        <v>250</v>
      </c>
    </row>
    <row r="92" spans="1:20" x14ac:dyDescent="0.85">
      <c r="A92" s="433" t="s">
        <v>340</v>
      </c>
      <c r="B92" s="429" t="s">
        <v>343</v>
      </c>
      <c r="C92" s="434">
        <v>79.25</v>
      </c>
      <c r="D92" s="434"/>
      <c r="E92" s="430" t="s">
        <v>757</v>
      </c>
      <c r="F92" s="435">
        <v>10</v>
      </c>
      <c r="G92" s="435">
        <v>1400</v>
      </c>
      <c r="H92" s="435">
        <v>20000</v>
      </c>
      <c r="I92" s="431" t="s">
        <v>777</v>
      </c>
      <c r="J92" s="432" t="s">
        <v>0</v>
      </c>
      <c r="K92" s="432">
        <v>-30</v>
      </c>
      <c r="L92" s="432">
        <v>70</v>
      </c>
      <c r="M92" s="432" t="s">
        <v>577</v>
      </c>
      <c r="N92" s="432">
        <v>60</v>
      </c>
      <c r="O92" s="435" t="s">
        <v>168</v>
      </c>
      <c r="P92" s="435" t="s">
        <v>168</v>
      </c>
      <c r="Q92" s="434">
        <f>C92*((100-Discounts!$B$7)/100)</f>
        <v>27.737499999999997</v>
      </c>
      <c r="R92" t="str">
        <f>IF(ISNUMBER(Table3[[#This Row],[Thickness]]), "Zenith", "")</f>
        <v>Zenith</v>
      </c>
      <c r="S92">
        <v>6</v>
      </c>
      <c r="T92">
        <v>250</v>
      </c>
    </row>
    <row r="93" spans="1:20" x14ac:dyDescent="0.85">
      <c r="A93" s="429" t="s">
        <v>341</v>
      </c>
      <c r="B93" s="429" t="s">
        <v>343</v>
      </c>
      <c r="C93" s="430">
        <v>95</v>
      </c>
      <c r="D93" s="430"/>
      <c r="E93" s="430" t="s">
        <v>757</v>
      </c>
      <c r="F93" s="431">
        <v>12</v>
      </c>
      <c r="G93" s="431">
        <v>1400</v>
      </c>
      <c r="H93" s="431">
        <v>10000</v>
      </c>
      <c r="I93" s="431" t="s">
        <v>777</v>
      </c>
      <c r="J93" s="432" t="s">
        <v>0</v>
      </c>
      <c r="K93" s="432">
        <v>-30</v>
      </c>
      <c r="L93" s="432">
        <v>70</v>
      </c>
      <c r="M93" s="432" t="s">
        <v>577</v>
      </c>
      <c r="N93" s="432">
        <v>60</v>
      </c>
      <c r="O93" s="431" t="s">
        <v>168</v>
      </c>
      <c r="P93" s="431" t="s">
        <v>168</v>
      </c>
      <c r="Q93" s="430">
        <f>C93*((100-Discounts!$B$7)/100)</f>
        <v>33.25</v>
      </c>
      <c r="R93" t="str">
        <f>IF(ISNUMBER(Table3[[#This Row],[Thickness]]), "Zenith", "")</f>
        <v>Zenith</v>
      </c>
      <c r="S93">
        <v>6</v>
      </c>
      <c r="T93">
        <v>250</v>
      </c>
    </row>
    <row r="94" spans="1:20" x14ac:dyDescent="0.85">
      <c r="A94" s="433" t="s">
        <v>342</v>
      </c>
      <c r="B94" s="429" t="s">
        <v>343</v>
      </c>
      <c r="C94" s="434">
        <v>118</v>
      </c>
      <c r="D94" s="434"/>
      <c r="E94" s="430" t="s">
        <v>757</v>
      </c>
      <c r="F94" s="435">
        <v>15</v>
      </c>
      <c r="G94" s="435">
        <v>1400</v>
      </c>
      <c r="H94" s="435">
        <v>10000</v>
      </c>
      <c r="I94" s="431" t="s">
        <v>777</v>
      </c>
      <c r="J94" s="432" t="s">
        <v>0</v>
      </c>
      <c r="K94" s="432">
        <v>-30</v>
      </c>
      <c r="L94" s="432">
        <v>70</v>
      </c>
      <c r="M94" s="432" t="s">
        <v>577</v>
      </c>
      <c r="N94" s="432">
        <v>60</v>
      </c>
      <c r="O94" s="435" t="s">
        <v>168</v>
      </c>
      <c r="P94" s="435" t="s">
        <v>168</v>
      </c>
      <c r="Q94" s="434">
        <f>C94*((100-Discounts!$B$7)/100)</f>
        <v>41.3</v>
      </c>
      <c r="R94" t="str">
        <f>IF(ISNUMBER(Table3[[#This Row],[Thickness]]), "Zenith", "")</f>
        <v>Zenith</v>
      </c>
      <c r="S94">
        <v>6</v>
      </c>
      <c r="T94">
        <v>250</v>
      </c>
    </row>
    <row r="95" spans="1:20" ht="27" thickBot="1" x14ac:dyDescent="0.9">
      <c r="A95" s="345"/>
      <c r="B95" s="346"/>
      <c r="C95" s="347"/>
      <c r="D95" s="347"/>
      <c r="E95" s="347"/>
      <c r="F95" s="351" t="s">
        <v>343</v>
      </c>
      <c r="G95" s="351">
        <v>0</v>
      </c>
      <c r="H95" s="323">
        <v>0</v>
      </c>
      <c r="I95" s="217" t="s">
        <v>777</v>
      </c>
      <c r="J95" t="s">
        <v>0</v>
      </c>
      <c r="K95">
        <v>-30</v>
      </c>
      <c r="L95">
        <v>70</v>
      </c>
      <c r="M95" s="352" t="s">
        <v>577</v>
      </c>
      <c r="N95" s="349">
        <v>60</v>
      </c>
      <c r="O95" s="323"/>
      <c r="P95" s="323"/>
      <c r="Q95" s="350" t="s">
        <v>323</v>
      </c>
      <c r="R95" t="str">
        <f>IF(ISNUMBER(Table3[[#This Row],[Thickness]]), "Zenith", "")</f>
        <v/>
      </c>
    </row>
    <row r="96" spans="1:20" ht="54" thickTop="1" thickBot="1" x14ac:dyDescent="0.9">
      <c r="A96" s="96" t="s">
        <v>322</v>
      </c>
      <c r="B96" s="293"/>
      <c r="C96" s="224" t="s">
        <v>179</v>
      </c>
      <c r="D96" s="311"/>
      <c r="E96" s="311"/>
      <c r="F96" s="222" t="s">
        <v>320</v>
      </c>
      <c r="G96" s="222" t="e">
        <v>#VALUE!</v>
      </c>
      <c r="H96" s="223" t="e">
        <v>#VALUE!</v>
      </c>
      <c r="I96" s="217" t="s">
        <v>777</v>
      </c>
      <c r="J96" t="s">
        <v>0</v>
      </c>
      <c r="M96" s="231"/>
      <c r="N96" s="233"/>
      <c r="O96" s="223" t="s">
        <v>171</v>
      </c>
      <c r="P96" s="223" t="s">
        <v>325</v>
      </c>
      <c r="Q96" s="224" t="s">
        <v>199</v>
      </c>
      <c r="R96" t="str">
        <f>IF(ISNUMBER(Table3[[#This Row],[Thickness]]), "Zenith", "")</f>
        <v/>
      </c>
    </row>
    <row r="97" spans="1:20" ht="27" thickTop="1" x14ac:dyDescent="0.85">
      <c r="A97" s="429" t="s">
        <v>345</v>
      </c>
      <c r="B97" s="429" t="s">
        <v>343</v>
      </c>
      <c r="C97" s="430">
        <v>41.5</v>
      </c>
      <c r="D97" s="430"/>
      <c r="E97" s="430" t="s">
        <v>757</v>
      </c>
      <c r="F97" s="431">
        <v>4</v>
      </c>
      <c r="G97" s="431">
        <v>1500</v>
      </c>
      <c r="H97" s="431">
        <v>15000</v>
      </c>
      <c r="I97" s="431" t="s">
        <v>777</v>
      </c>
      <c r="J97" s="432" t="s">
        <v>0</v>
      </c>
      <c r="K97" s="432">
        <v>-30</v>
      </c>
      <c r="L97" s="432">
        <v>70</v>
      </c>
      <c r="M97" s="432" t="s">
        <v>577</v>
      </c>
      <c r="N97" s="432">
        <v>60</v>
      </c>
      <c r="O97" s="431">
        <v>1</v>
      </c>
      <c r="P97" s="431" t="s">
        <v>344</v>
      </c>
      <c r="Q97" s="430">
        <f>C97*((100-Discounts!$B$7)/100)</f>
        <v>14.524999999999999</v>
      </c>
      <c r="R97" t="str">
        <f>IF(ISNUMBER(Table3[[#This Row],[Thickness]]), "Zenith", "")</f>
        <v>Zenith</v>
      </c>
      <c r="S97">
        <v>6</v>
      </c>
      <c r="T97">
        <v>250</v>
      </c>
    </row>
    <row r="98" spans="1:20" x14ac:dyDescent="0.85">
      <c r="A98" s="433" t="s">
        <v>346</v>
      </c>
      <c r="B98" s="429" t="s">
        <v>343</v>
      </c>
      <c r="C98" s="434">
        <v>66</v>
      </c>
      <c r="D98" s="434"/>
      <c r="E98" s="430" t="s">
        <v>757</v>
      </c>
      <c r="F98" s="435">
        <v>6</v>
      </c>
      <c r="G98" s="435">
        <v>1500</v>
      </c>
      <c r="H98" s="435">
        <v>10000</v>
      </c>
      <c r="I98" s="431" t="s">
        <v>777</v>
      </c>
      <c r="J98" s="432" t="s">
        <v>0</v>
      </c>
      <c r="K98" s="432">
        <v>-30</v>
      </c>
      <c r="L98" s="432">
        <v>70</v>
      </c>
      <c r="M98" s="432" t="s">
        <v>577</v>
      </c>
      <c r="N98" s="432">
        <v>60</v>
      </c>
      <c r="O98" s="435">
        <v>2</v>
      </c>
      <c r="P98" s="435" t="s">
        <v>344</v>
      </c>
      <c r="Q98" s="434">
        <f>C98*((100-Discounts!$B$7)/100)</f>
        <v>23.099999999999998</v>
      </c>
      <c r="R98" t="str">
        <f>IF(ISNUMBER(Table3[[#This Row],[Thickness]]), "Zenith", "")</f>
        <v>Zenith</v>
      </c>
      <c r="S98">
        <v>6</v>
      </c>
      <c r="T98">
        <v>250</v>
      </c>
    </row>
    <row r="99" spans="1:20" ht="27" thickBot="1" x14ac:dyDescent="0.9">
      <c r="A99" s="345"/>
      <c r="B99" s="346"/>
      <c r="C99" s="347"/>
      <c r="D99" s="347"/>
      <c r="E99" s="347"/>
      <c r="F99" s="341" t="s">
        <v>205</v>
      </c>
      <c r="G99" s="341">
        <v>0</v>
      </c>
      <c r="H99" s="323">
        <v>0</v>
      </c>
      <c r="I99" s="217" t="s">
        <v>777</v>
      </c>
      <c r="J99" t="s">
        <v>0</v>
      </c>
      <c r="M99" s="353"/>
      <c r="N99" s="349"/>
      <c r="O99" s="344"/>
      <c r="P99" s="323"/>
      <c r="Q99" s="350" t="s">
        <v>323</v>
      </c>
      <c r="R99" t="str">
        <f>IF(ISNUMBER(Table3[[#This Row],[Thickness]]), "Zenith", "")</f>
        <v/>
      </c>
    </row>
    <row r="100" spans="1:20" ht="54" thickTop="1" thickBot="1" x14ac:dyDescent="0.9">
      <c r="A100" s="92" t="s">
        <v>322</v>
      </c>
      <c r="B100" s="293"/>
      <c r="C100" s="224" t="s">
        <v>179</v>
      </c>
      <c r="D100" s="311"/>
      <c r="E100" s="311"/>
      <c r="F100" s="222" t="s">
        <v>320</v>
      </c>
      <c r="G100" s="222" t="e">
        <v>#VALUE!</v>
      </c>
      <c r="H100" s="223" t="e">
        <v>#VALUE!</v>
      </c>
      <c r="I100" s="217" t="s">
        <v>777</v>
      </c>
      <c r="J100" t="s">
        <v>0</v>
      </c>
      <c r="M100" s="231"/>
      <c r="N100" s="233"/>
      <c r="O100" s="223" t="s">
        <v>171</v>
      </c>
      <c r="P100" s="223" t="s">
        <v>325</v>
      </c>
      <c r="Q100" s="224" t="s">
        <v>199</v>
      </c>
      <c r="R100" t="str">
        <f>IF(ISNUMBER(Table3[[#This Row],[Thickness]]), "Zenith", "")</f>
        <v/>
      </c>
    </row>
    <row r="101" spans="1:20" ht="27" thickTop="1" x14ac:dyDescent="0.85">
      <c r="A101" s="429" t="s">
        <v>347</v>
      </c>
      <c r="B101" s="429" t="s">
        <v>205</v>
      </c>
      <c r="C101" s="430">
        <v>16</v>
      </c>
      <c r="D101" s="430"/>
      <c r="E101" s="430" t="s">
        <v>757</v>
      </c>
      <c r="F101" s="431">
        <v>2</v>
      </c>
      <c r="G101" s="431">
        <v>1400</v>
      </c>
      <c r="H101" s="431">
        <v>10000</v>
      </c>
      <c r="I101" s="431" t="s">
        <v>777</v>
      </c>
      <c r="J101" s="432" t="s">
        <v>0</v>
      </c>
      <c r="K101" s="432">
        <v>-30</v>
      </c>
      <c r="L101" s="432">
        <v>70</v>
      </c>
      <c r="M101" s="432" t="s">
        <v>577</v>
      </c>
      <c r="N101" s="432">
        <v>50</v>
      </c>
      <c r="O101" s="431" t="s">
        <v>168</v>
      </c>
      <c r="P101" s="431" t="s">
        <v>168</v>
      </c>
      <c r="Q101" s="430">
        <f>C101*((100-Discounts!$B$8)/100)</f>
        <v>6.72</v>
      </c>
      <c r="R101" t="str">
        <f>IF(ISNUMBER(Table3[[#This Row],[Thickness]]), "Zenith", "")</f>
        <v>Zenith</v>
      </c>
      <c r="S101">
        <v>3</v>
      </c>
      <c r="T101">
        <v>200</v>
      </c>
    </row>
    <row r="102" spans="1:20" x14ac:dyDescent="0.85">
      <c r="A102" s="433" t="s">
        <v>348</v>
      </c>
      <c r="B102" s="429" t="s">
        <v>205</v>
      </c>
      <c r="C102" s="434">
        <v>23.25</v>
      </c>
      <c r="D102" s="434"/>
      <c r="E102" s="430" t="s">
        <v>757</v>
      </c>
      <c r="F102" s="435">
        <v>3</v>
      </c>
      <c r="G102" s="435">
        <v>1400</v>
      </c>
      <c r="H102" s="435">
        <v>10000</v>
      </c>
      <c r="I102" s="431" t="s">
        <v>777</v>
      </c>
      <c r="J102" s="432" t="s">
        <v>0</v>
      </c>
      <c r="K102" s="432">
        <v>-30</v>
      </c>
      <c r="L102" s="432">
        <v>70</v>
      </c>
      <c r="M102" s="436" t="s">
        <v>577</v>
      </c>
      <c r="N102" s="432">
        <v>50</v>
      </c>
      <c r="O102" s="435" t="s">
        <v>168</v>
      </c>
      <c r="P102" s="435" t="s">
        <v>168</v>
      </c>
      <c r="Q102" s="434">
        <f>C102*((100-Discounts!$B$8)/100)</f>
        <v>9.7649999999999988</v>
      </c>
      <c r="R102" t="str">
        <f>IF(ISNUMBER(Table3[[#This Row],[Thickness]]), "Zenith", "")</f>
        <v>Zenith</v>
      </c>
      <c r="S102">
        <v>3</v>
      </c>
      <c r="T102">
        <v>200</v>
      </c>
    </row>
    <row r="103" spans="1:20" x14ac:dyDescent="0.85">
      <c r="A103" s="429" t="s">
        <v>349</v>
      </c>
      <c r="B103" s="429" t="s">
        <v>205</v>
      </c>
      <c r="C103" s="430">
        <v>31</v>
      </c>
      <c r="D103" s="430"/>
      <c r="E103" s="430" t="s">
        <v>757</v>
      </c>
      <c r="F103" s="431">
        <v>4</v>
      </c>
      <c r="G103" s="431">
        <v>1400</v>
      </c>
      <c r="H103" s="431">
        <v>10000</v>
      </c>
      <c r="I103" s="431" t="s">
        <v>777</v>
      </c>
      <c r="J103" s="432" t="s">
        <v>0</v>
      </c>
      <c r="K103" s="432">
        <v>-30</v>
      </c>
      <c r="L103" s="432">
        <v>70</v>
      </c>
      <c r="M103" s="432" t="s">
        <v>577</v>
      </c>
      <c r="N103" s="432">
        <v>50</v>
      </c>
      <c r="O103" s="431" t="s">
        <v>168</v>
      </c>
      <c r="P103" s="431" t="s">
        <v>168</v>
      </c>
      <c r="Q103" s="430">
        <f>C103*((100-Discounts!$B$8)/100)</f>
        <v>13.02</v>
      </c>
      <c r="R103" t="str">
        <f>IF(ISNUMBER(Table3[[#This Row],[Thickness]]), "Zenith", "")</f>
        <v>Zenith</v>
      </c>
      <c r="S103">
        <v>3</v>
      </c>
      <c r="T103">
        <v>200</v>
      </c>
    </row>
    <row r="104" spans="1:20" x14ac:dyDescent="0.85">
      <c r="A104" s="433" t="s">
        <v>350</v>
      </c>
      <c r="B104" s="429" t="s">
        <v>205</v>
      </c>
      <c r="C104" s="434">
        <v>38.5</v>
      </c>
      <c r="D104" s="434"/>
      <c r="E104" s="430" t="s">
        <v>757</v>
      </c>
      <c r="F104" s="435">
        <v>5</v>
      </c>
      <c r="G104" s="435">
        <v>1400</v>
      </c>
      <c r="H104" s="435">
        <v>10000</v>
      </c>
      <c r="I104" s="431" t="s">
        <v>777</v>
      </c>
      <c r="J104" s="432" t="s">
        <v>0</v>
      </c>
      <c r="K104" s="432">
        <v>-30</v>
      </c>
      <c r="L104" s="432">
        <v>70</v>
      </c>
      <c r="M104" s="436" t="s">
        <v>577</v>
      </c>
      <c r="N104" s="432">
        <v>50</v>
      </c>
      <c r="O104" s="435" t="s">
        <v>168</v>
      </c>
      <c r="P104" s="435" t="s">
        <v>168</v>
      </c>
      <c r="Q104" s="434">
        <f>C104*((100-Discounts!$B$8)/100)</f>
        <v>16.169999999999998</v>
      </c>
      <c r="R104" t="str">
        <f>IF(ISNUMBER(Table3[[#This Row],[Thickness]]), "Zenith", "")</f>
        <v>Zenith</v>
      </c>
      <c r="S104">
        <v>3</v>
      </c>
      <c r="T104">
        <v>200</v>
      </c>
    </row>
    <row r="105" spans="1:20" x14ac:dyDescent="0.85">
      <c r="A105" s="429" t="s">
        <v>351</v>
      </c>
      <c r="B105" s="429" t="s">
        <v>205</v>
      </c>
      <c r="C105" s="430">
        <v>46.25</v>
      </c>
      <c r="D105" s="430"/>
      <c r="E105" s="430" t="s">
        <v>757</v>
      </c>
      <c r="F105" s="431">
        <v>6</v>
      </c>
      <c r="G105" s="431">
        <v>1400</v>
      </c>
      <c r="H105" s="431">
        <v>10000</v>
      </c>
      <c r="I105" s="431" t="s">
        <v>777</v>
      </c>
      <c r="J105" s="432" t="s">
        <v>0</v>
      </c>
      <c r="K105" s="432">
        <v>-30</v>
      </c>
      <c r="L105" s="432">
        <v>70</v>
      </c>
      <c r="M105" s="432" t="s">
        <v>577</v>
      </c>
      <c r="N105" s="432">
        <v>50</v>
      </c>
      <c r="O105" s="431" t="s">
        <v>168</v>
      </c>
      <c r="P105" s="431" t="s">
        <v>168</v>
      </c>
      <c r="Q105" s="430">
        <f>C105*((100-Discounts!$B$8)/100)</f>
        <v>19.425000000000001</v>
      </c>
      <c r="R105" t="str">
        <f>IF(ISNUMBER(Table3[[#This Row],[Thickness]]), "Zenith", "")</f>
        <v>Zenith</v>
      </c>
      <c r="S105">
        <v>3</v>
      </c>
      <c r="T105">
        <v>200</v>
      </c>
    </row>
    <row r="106" spans="1:20" x14ac:dyDescent="0.85">
      <c r="A106" s="433" t="s">
        <v>352</v>
      </c>
      <c r="B106" s="429" t="s">
        <v>205</v>
      </c>
      <c r="C106" s="434">
        <v>61</v>
      </c>
      <c r="D106" s="434"/>
      <c r="E106" s="430" t="s">
        <v>757</v>
      </c>
      <c r="F106" s="435">
        <v>8</v>
      </c>
      <c r="G106" s="435">
        <v>1400</v>
      </c>
      <c r="H106" s="435">
        <v>5000</v>
      </c>
      <c r="I106" s="431" t="s">
        <v>777</v>
      </c>
      <c r="J106" s="432" t="s">
        <v>0</v>
      </c>
      <c r="K106" s="432">
        <v>-30</v>
      </c>
      <c r="L106" s="432">
        <v>70</v>
      </c>
      <c r="M106" s="436" t="s">
        <v>577</v>
      </c>
      <c r="N106" s="432">
        <v>50</v>
      </c>
      <c r="O106" s="435" t="s">
        <v>168</v>
      </c>
      <c r="P106" s="435" t="s">
        <v>168</v>
      </c>
      <c r="Q106" s="434">
        <f>C106*((100-Discounts!$B$8)/100)</f>
        <v>25.619999999999997</v>
      </c>
      <c r="R106" t="str">
        <f>IF(ISNUMBER(Table3[[#This Row],[Thickness]]), "Zenith", "")</f>
        <v>Zenith</v>
      </c>
      <c r="S106">
        <v>3</v>
      </c>
      <c r="T106">
        <v>200</v>
      </c>
    </row>
    <row r="107" spans="1:20" x14ac:dyDescent="0.85">
      <c r="A107" s="429" t="s">
        <v>353</v>
      </c>
      <c r="B107" s="429" t="s">
        <v>205</v>
      </c>
      <c r="C107" s="430">
        <v>75.25</v>
      </c>
      <c r="D107" s="430"/>
      <c r="E107" s="430" t="s">
        <v>757</v>
      </c>
      <c r="F107" s="431">
        <v>10</v>
      </c>
      <c r="G107" s="431">
        <v>1400</v>
      </c>
      <c r="H107" s="431">
        <v>5000</v>
      </c>
      <c r="I107" s="431" t="s">
        <v>777</v>
      </c>
      <c r="J107" s="432" t="s">
        <v>0</v>
      </c>
      <c r="K107" s="432">
        <v>-30</v>
      </c>
      <c r="L107" s="432">
        <v>70</v>
      </c>
      <c r="M107" s="432" t="s">
        <v>577</v>
      </c>
      <c r="N107" s="432">
        <v>50</v>
      </c>
      <c r="O107" s="431" t="s">
        <v>168</v>
      </c>
      <c r="P107" s="431" t="s">
        <v>168</v>
      </c>
      <c r="Q107" s="430">
        <f>C107*((100-Discounts!$B$8)/100)</f>
        <v>31.605</v>
      </c>
      <c r="R107" t="str">
        <f>IF(ISNUMBER(Table3[[#This Row],[Thickness]]), "Zenith", "")</f>
        <v>Zenith</v>
      </c>
      <c r="S107">
        <v>3</v>
      </c>
      <c r="T107">
        <v>200</v>
      </c>
    </row>
    <row r="108" spans="1:20" x14ac:dyDescent="0.85">
      <c r="A108" s="433" t="s">
        <v>354</v>
      </c>
      <c r="B108" s="429" t="s">
        <v>205</v>
      </c>
      <c r="C108" s="434">
        <v>112</v>
      </c>
      <c r="D108" s="434"/>
      <c r="E108" s="430" t="s">
        <v>757</v>
      </c>
      <c r="F108" s="435">
        <v>15</v>
      </c>
      <c r="G108" s="435">
        <v>1400</v>
      </c>
      <c r="H108" s="435">
        <v>5000</v>
      </c>
      <c r="I108" s="431" t="s">
        <v>777</v>
      </c>
      <c r="J108" s="432" t="s">
        <v>0</v>
      </c>
      <c r="K108" s="432">
        <v>-30</v>
      </c>
      <c r="L108" s="432">
        <v>70</v>
      </c>
      <c r="M108" s="436" t="s">
        <v>577</v>
      </c>
      <c r="N108" s="432">
        <v>50</v>
      </c>
      <c r="O108" s="435" t="s">
        <v>168</v>
      </c>
      <c r="P108" s="435" t="s">
        <v>168</v>
      </c>
      <c r="Q108" s="434">
        <f>C108*((100-Discounts!$B$8)/100)</f>
        <v>47.04</v>
      </c>
      <c r="R108" t="str">
        <f>IF(ISNUMBER(Table3[[#This Row],[Thickness]]), "Zenith", "")</f>
        <v>Zenith</v>
      </c>
      <c r="S108">
        <v>3</v>
      </c>
      <c r="T108">
        <v>200</v>
      </c>
    </row>
    <row r="109" spans="1:20" x14ac:dyDescent="0.85">
      <c r="A109" s="429" t="s">
        <v>355</v>
      </c>
      <c r="B109" s="429" t="s">
        <v>205</v>
      </c>
      <c r="C109" s="430">
        <v>149.75</v>
      </c>
      <c r="D109" s="430"/>
      <c r="E109" s="430" t="s">
        <v>757</v>
      </c>
      <c r="F109" s="431">
        <v>20</v>
      </c>
      <c r="G109" s="431">
        <v>1400</v>
      </c>
      <c r="H109" s="431">
        <v>5000</v>
      </c>
      <c r="I109" s="431" t="s">
        <v>777</v>
      </c>
      <c r="J109" s="432" t="s">
        <v>0</v>
      </c>
      <c r="K109" s="432">
        <v>-30</v>
      </c>
      <c r="L109" s="432">
        <v>70</v>
      </c>
      <c r="M109" s="432" t="s">
        <v>577</v>
      </c>
      <c r="N109" s="432">
        <v>50</v>
      </c>
      <c r="O109" s="431" t="s">
        <v>168</v>
      </c>
      <c r="P109" s="431" t="s">
        <v>168</v>
      </c>
      <c r="Q109" s="430">
        <f>C109*((100-Discounts!$B$8)/100)</f>
        <v>62.894999999999996</v>
      </c>
      <c r="R109" t="str">
        <f>IF(ISNUMBER(Table3[[#This Row],[Thickness]]), "Zenith", "")</f>
        <v>Zenith</v>
      </c>
      <c r="S109">
        <v>3</v>
      </c>
      <c r="T109">
        <v>200</v>
      </c>
    </row>
    <row r="110" spans="1:20" ht="27" thickBot="1" x14ac:dyDescent="0.9">
      <c r="A110" s="100"/>
      <c r="B110" s="100"/>
      <c r="C110" s="354"/>
      <c r="D110" s="354"/>
      <c r="E110" s="354"/>
      <c r="F110" s="355" t="s">
        <v>356</v>
      </c>
      <c r="G110" s="355">
        <v>0</v>
      </c>
      <c r="H110" s="324">
        <v>0</v>
      </c>
      <c r="I110" s="217" t="s">
        <v>777</v>
      </c>
      <c r="M110" s="342"/>
      <c r="N110" s="343"/>
      <c r="O110" s="356"/>
      <c r="P110" s="356"/>
      <c r="Q110" s="354"/>
      <c r="R110" t="str">
        <f>IF(ISNUMBER(Table3[[#This Row],[Thickness]]), "Zenith", "")</f>
        <v/>
      </c>
    </row>
    <row r="111" spans="1:20" ht="27.5" thickTop="1" thickBot="1" x14ac:dyDescent="0.9">
      <c r="A111" s="101"/>
      <c r="B111" s="295"/>
      <c r="C111" s="238"/>
      <c r="D111" s="238"/>
      <c r="E111" s="238"/>
      <c r="F111" s="236" t="s">
        <v>206</v>
      </c>
      <c r="G111" s="236">
        <v>0</v>
      </c>
      <c r="H111" s="237">
        <v>0</v>
      </c>
      <c r="I111" s="217" t="s">
        <v>777</v>
      </c>
      <c r="M111" s="229"/>
      <c r="N111" s="230"/>
      <c r="O111" s="237"/>
      <c r="P111" s="237"/>
      <c r="Q111" s="239" t="s">
        <v>323</v>
      </c>
      <c r="R111" t="str">
        <f>IF(ISNUMBER(Table3[[#This Row],[Thickness]]), "Zenith", "")</f>
        <v/>
      </c>
    </row>
    <row r="112" spans="1:20" ht="54" thickTop="1" thickBot="1" x14ac:dyDescent="0.9">
      <c r="A112" s="102" t="s">
        <v>322</v>
      </c>
      <c r="B112" s="296"/>
      <c r="C112" s="242" t="s">
        <v>179</v>
      </c>
      <c r="D112" s="312"/>
      <c r="E112" s="312"/>
      <c r="F112" s="240" t="s">
        <v>320</v>
      </c>
      <c r="G112" s="240" t="e">
        <v>#VALUE!</v>
      </c>
      <c r="H112" s="241" t="e">
        <v>#VALUE!</v>
      </c>
      <c r="I112" s="217" t="s">
        <v>777</v>
      </c>
      <c r="M112" s="231"/>
      <c r="N112" s="233"/>
      <c r="O112" s="241" t="s">
        <v>171</v>
      </c>
      <c r="P112" s="241" t="s">
        <v>325</v>
      </c>
      <c r="Q112" s="242" t="s">
        <v>199</v>
      </c>
      <c r="R112" t="str">
        <f>IF(ISNUMBER(Table3[[#This Row],[Thickness]]), "Zenith", "")</f>
        <v/>
      </c>
    </row>
    <row r="113" spans="1:20" ht="27" thickTop="1" x14ac:dyDescent="0.85">
      <c r="A113" s="429" t="s">
        <v>135</v>
      </c>
      <c r="B113" s="429" t="s">
        <v>206</v>
      </c>
      <c r="C113" s="430">
        <v>9.75</v>
      </c>
      <c r="D113" s="430"/>
      <c r="E113" s="430" t="s">
        <v>757</v>
      </c>
      <c r="F113" s="431">
        <v>1</v>
      </c>
      <c r="G113" s="431">
        <v>1400</v>
      </c>
      <c r="H113" s="431">
        <v>20000</v>
      </c>
      <c r="I113" s="431" t="s">
        <v>777</v>
      </c>
      <c r="J113" s="432" t="s">
        <v>1</v>
      </c>
      <c r="K113" s="432">
        <v>-30</v>
      </c>
      <c r="L113" s="432">
        <v>90</v>
      </c>
      <c r="M113" s="432" t="s">
        <v>577</v>
      </c>
      <c r="N113" s="432">
        <v>70</v>
      </c>
      <c r="O113" s="431" t="s">
        <v>168</v>
      </c>
      <c r="P113" s="431" t="s">
        <v>168</v>
      </c>
      <c r="Q113" s="430">
        <f>C113*((100-Discounts!$B$10)/100)</f>
        <v>3.9000000000000004</v>
      </c>
      <c r="R113" t="str">
        <f>IF(ISNUMBER(Table3[[#This Row],[Thickness]]), "Zenith", "")</f>
        <v>Zenith</v>
      </c>
      <c r="S113">
        <v>4</v>
      </c>
      <c r="T113">
        <v>200</v>
      </c>
    </row>
    <row r="114" spans="1:20" x14ac:dyDescent="0.85">
      <c r="A114" s="433" t="s">
        <v>4</v>
      </c>
      <c r="B114" s="429" t="s">
        <v>206</v>
      </c>
      <c r="C114" s="434">
        <v>13.25</v>
      </c>
      <c r="D114" s="434"/>
      <c r="E114" s="430" t="s">
        <v>757</v>
      </c>
      <c r="F114" s="435">
        <v>1.5</v>
      </c>
      <c r="G114" s="435">
        <v>1400</v>
      </c>
      <c r="H114" s="435">
        <v>15000</v>
      </c>
      <c r="I114" s="431" t="s">
        <v>777</v>
      </c>
      <c r="J114" s="432" t="s">
        <v>1</v>
      </c>
      <c r="K114" s="432">
        <v>-30</v>
      </c>
      <c r="L114" s="432">
        <v>90</v>
      </c>
      <c r="M114" s="432" t="s">
        <v>577</v>
      </c>
      <c r="N114" s="432">
        <v>70</v>
      </c>
      <c r="O114" s="435" t="s">
        <v>168</v>
      </c>
      <c r="P114" s="435" t="s">
        <v>168</v>
      </c>
      <c r="Q114" s="434">
        <f>C114*((100-Discounts!$B$10)/100)</f>
        <v>5.3000000000000007</v>
      </c>
      <c r="R114" t="str">
        <f>IF(ISNUMBER(Table3[[#This Row],[Thickness]]), "Zenith", "")</f>
        <v>Zenith</v>
      </c>
      <c r="S114">
        <v>4</v>
      </c>
      <c r="T114">
        <v>200</v>
      </c>
    </row>
    <row r="115" spans="1:20" x14ac:dyDescent="0.85">
      <c r="A115" s="429" t="s">
        <v>3</v>
      </c>
      <c r="B115" s="429" t="s">
        <v>206</v>
      </c>
      <c r="C115" s="430">
        <v>16.25</v>
      </c>
      <c r="D115" s="430"/>
      <c r="E115" s="430" t="s">
        <v>757</v>
      </c>
      <c r="F115" s="431">
        <v>2</v>
      </c>
      <c r="G115" s="431">
        <v>1200</v>
      </c>
      <c r="H115" s="431">
        <v>10000</v>
      </c>
      <c r="I115" s="431" t="s">
        <v>777</v>
      </c>
      <c r="J115" s="432" t="s">
        <v>1</v>
      </c>
      <c r="K115" s="432">
        <v>-30</v>
      </c>
      <c r="L115" s="432">
        <v>90</v>
      </c>
      <c r="M115" s="432" t="s">
        <v>577</v>
      </c>
      <c r="N115" s="432">
        <v>70</v>
      </c>
      <c r="O115" s="431" t="s">
        <v>168</v>
      </c>
      <c r="P115" s="431" t="s">
        <v>168</v>
      </c>
      <c r="Q115" s="430">
        <f>C115*((100-Discounts!$B$10)/100)</f>
        <v>6.5</v>
      </c>
      <c r="R115" t="str">
        <f>IF(ISNUMBER(Table3[[#This Row],[Thickness]]), "Zenith", "")</f>
        <v>Zenith</v>
      </c>
      <c r="S115">
        <v>4</v>
      </c>
      <c r="T115">
        <v>200</v>
      </c>
    </row>
    <row r="116" spans="1:20" x14ac:dyDescent="0.85">
      <c r="A116" s="433" t="s">
        <v>3</v>
      </c>
      <c r="B116" s="429" t="s">
        <v>206</v>
      </c>
      <c r="C116" s="434">
        <v>16.25</v>
      </c>
      <c r="D116" s="434"/>
      <c r="E116" s="430" t="s">
        <v>757</v>
      </c>
      <c r="F116" s="435">
        <v>2</v>
      </c>
      <c r="G116" s="435">
        <v>1400</v>
      </c>
      <c r="H116" s="435">
        <v>10000</v>
      </c>
      <c r="I116" s="431" t="s">
        <v>777</v>
      </c>
      <c r="J116" s="432" t="s">
        <v>1</v>
      </c>
      <c r="K116" s="432">
        <v>-30</v>
      </c>
      <c r="L116" s="432">
        <v>90</v>
      </c>
      <c r="M116" s="432" t="s">
        <v>577</v>
      </c>
      <c r="N116" s="432">
        <v>70</v>
      </c>
      <c r="O116" s="435" t="s">
        <v>168</v>
      </c>
      <c r="P116" s="435" t="s">
        <v>168</v>
      </c>
      <c r="Q116" s="434">
        <f>C116*((100-Discounts!$B$10)/100)</f>
        <v>6.5</v>
      </c>
      <c r="R116" t="str">
        <f>IF(ISNUMBER(Table3[[#This Row],[Thickness]]), "Zenith", "")</f>
        <v>Zenith</v>
      </c>
      <c r="S116">
        <v>4</v>
      </c>
      <c r="T116">
        <v>200</v>
      </c>
    </row>
    <row r="117" spans="1:20" x14ac:dyDescent="0.85">
      <c r="A117" s="429" t="s">
        <v>7</v>
      </c>
      <c r="B117" s="429" t="s">
        <v>206</v>
      </c>
      <c r="C117" s="430">
        <v>23</v>
      </c>
      <c r="D117" s="430"/>
      <c r="E117" s="430" t="s">
        <v>757</v>
      </c>
      <c r="F117" s="431">
        <v>3</v>
      </c>
      <c r="G117" s="431">
        <v>1200</v>
      </c>
      <c r="H117" s="431">
        <v>10000</v>
      </c>
      <c r="I117" s="431" t="s">
        <v>777</v>
      </c>
      <c r="J117" s="432" t="s">
        <v>1</v>
      </c>
      <c r="K117" s="432">
        <v>-30</v>
      </c>
      <c r="L117" s="432">
        <v>90</v>
      </c>
      <c r="M117" s="432" t="s">
        <v>577</v>
      </c>
      <c r="N117" s="432">
        <v>70</v>
      </c>
      <c r="O117" s="431" t="s">
        <v>168</v>
      </c>
      <c r="P117" s="431" t="s">
        <v>168</v>
      </c>
      <c r="Q117" s="430">
        <f>C117*((100-Discounts!$B$10)/100)</f>
        <v>9.2000000000000011</v>
      </c>
      <c r="R117" t="str">
        <f>IF(ISNUMBER(Table3[[#This Row],[Thickness]]), "Zenith", "")</f>
        <v>Zenith</v>
      </c>
      <c r="S117">
        <v>4</v>
      </c>
      <c r="T117">
        <v>200</v>
      </c>
    </row>
    <row r="118" spans="1:20" x14ac:dyDescent="0.85">
      <c r="A118" s="433" t="s">
        <v>7</v>
      </c>
      <c r="B118" s="429" t="s">
        <v>206</v>
      </c>
      <c r="C118" s="434">
        <v>23</v>
      </c>
      <c r="D118" s="434"/>
      <c r="E118" s="430" t="s">
        <v>757</v>
      </c>
      <c r="F118" s="435">
        <v>3</v>
      </c>
      <c r="G118" s="435">
        <v>1400</v>
      </c>
      <c r="H118" s="435">
        <v>10000</v>
      </c>
      <c r="I118" s="431" t="s">
        <v>777</v>
      </c>
      <c r="J118" s="432" t="s">
        <v>1</v>
      </c>
      <c r="K118" s="432">
        <v>-30</v>
      </c>
      <c r="L118" s="432">
        <v>90</v>
      </c>
      <c r="M118" s="432" t="s">
        <v>577</v>
      </c>
      <c r="N118" s="432">
        <v>70</v>
      </c>
      <c r="O118" s="435" t="s">
        <v>168</v>
      </c>
      <c r="P118" s="435" t="s">
        <v>168</v>
      </c>
      <c r="Q118" s="434">
        <f>C118*((100-Discounts!$B$10)/100)</f>
        <v>9.2000000000000011</v>
      </c>
      <c r="R118" t="str">
        <f>IF(ISNUMBER(Table3[[#This Row],[Thickness]]), "Zenith", "")</f>
        <v>Zenith</v>
      </c>
      <c r="S118">
        <v>4</v>
      </c>
      <c r="T118">
        <v>200</v>
      </c>
    </row>
    <row r="119" spans="1:20" x14ac:dyDescent="0.85">
      <c r="A119" s="429" t="s">
        <v>9</v>
      </c>
      <c r="B119" s="429" t="s">
        <v>206</v>
      </c>
      <c r="C119" s="430">
        <v>30.5</v>
      </c>
      <c r="D119" s="430"/>
      <c r="E119" s="430" t="s">
        <v>757</v>
      </c>
      <c r="F119" s="431">
        <v>4</v>
      </c>
      <c r="G119" s="431">
        <v>1200</v>
      </c>
      <c r="H119" s="431">
        <v>10000</v>
      </c>
      <c r="I119" s="431" t="s">
        <v>777</v>
      </c>
      <c r="J119" s="432" t="s">
        <v>1</v>
      </c>
      <c r="K119" s="432">
        <v>-30</v>
      </c>
      <c r="L119" s="432">
        <v>90</v>
      </c>
      <c r="M119" s="432" t="s">
        <v>577</v>
      </c>
      <c r="N119" s="432">
        <v>70</v>
      </c>
      <c r="O119" s="431" t="s">
        <v>168</v>
      </c>
      <c r="P119" s="431" t="s">
        <v>168</v>
      </c>
      <c r="Q119" s="430">
        <f>C119*((100-Discounts!$B$10)/100)</f>
        <v>12.200000000000001</v>
      </c>
      <c r="R119" t="str">
        <f>IF(ISNUMBER(Table3[[#This Row],[Thickness]]), "Zenith", "")</f>
        <v>Zenith</v>
      </c>
      <c r="S119">
        <v>4</v>
      </c>
      <c r="T119">
        <v>200</v>
      </c>
    </row>
    <row r="120" spans="1:20" x14ac:dyDescent="0.85">
      <c r="A120" s="433" t="s">
        <v>9</v>
      </c>
      <c r="B120" s="429" t="s">
        <v>206</v>
      </c>
      <c r="C120" s="434">
        <v>30.5</v>
      </c>
      <c r="D120" s="434"/>
      <c r="E120" s="430" t="s">
        <v>757</v>
      </c>
      <c r="F120" s="435">
        <v>4</v>
      </c>
      <c r="G120" s="435">
        <v>1400</v>
      </c>
      <c r="H120" s="435">
        <v>10000</v>
      </c>
      <c r="I120" s="431" t="s">
        <v>777</v>
      </c>
      <c r="J120" s="432" t="s">
        <v>1</v>
      </c>
      <c r="K120" s="432">
        <v>-30</v>
      </c>
      <c r="L120" s="432">
        <v>90</v>
      </c>
      <c r="M120" s="432" t="s">
        <v>577</v>
      </c>
      <c r="N120" s="432">
        <v>70</v>
      </c>
      <c r="O120" s="435" t="s">
        <v>168</v>
      </c>
      <c r="P120" s="435" t="s">
        <v>168</v>
      </c>
      <c r="Q120" s="434">
        <f>C120*((100-Discounts!$B$10)/100)</f>
        <v>12.200000000000001</v>
      </c>
      <c r="R120" t="str">
        <f>IF(ISNUMBER(Table3[[#This Row],[Thickness]]), "Zenith", "")</f>
        <v>Zenith</v>
      </c>
      <c r="S120">
        <v>4</v>
      </c>
      <c r="T120">
        <v>200</v>
      </c>
    </row>
    <row r="121" spans="1:20" x14ac:dyDescent="0.85">
      <c r="A121" s="429" t="s">
        <v>11</v>
      </c>
      <c r="B121" s="429" t="s">
        <v>206</v>
      </c>
      <c r="C121" s="430">
        <v>38</v>
      </c>
      <c r="D121" s="430"/>
      <c r="E121" s="430" t="s">
        <v>757</v>
      </c>
      <c r="F121" s="431">
        <v>5</v>
      </c>
      <c r="G121" s="431">
        <v>1200</v>
      </c>
      <c r="H121" s="431">
        <v>10000</v>
      </c>
      <c r="I121" s="431" t="s">
        <v>777</v>
      </c>
      <c r="J121" s="432" t="s">
        <v>1</v>
      </c>
      <c r="K121" s="432">
        <v>-30</v>
      </c>
      <c r="L121" s="432">
        <v>90</v>
      </c>
      <c r="M121" s="432" t="s">
        <v>577</v>
      </c>
      <c r="N121" s="432">
        <v>70</v>
      </c>
      <c r="O121" s="431" t="s">
        <v>168</v>
      </c>
      <c r="P121" s="431" t="s">
        <v>168</v>
      </c>
      <c r="Q121" s="430">
        <f>C121*((100-Discounts!$B$10)/100)</f>
        <v>15.200000000000001</v>
      </c>
      <c r="R121" t="str">
        <f>IF(ISNUMBER(Table3[[#This Row],[Thickness]]), "Zenith", "")</f>
        <v>Zenith</v>
      </c>
      <c r="S121">
        <v>4</v>
      </c>
      <c r="T121">
        <v>200</v>
      </c>
    </row>
    <row r="122" spans="1:20" x14ac:dyDescent="0.85">
      <c r="A122" s="433" t="s">
        <v>11</v>
      </c>
      <c r="B122" s="429" t="s">
        <v>206</v>
      </c>
      <c r="C122" s="434">
        <v>38</v>
      </c>
      <c r="D122" s="434"/>
      <c r="E122" s="430" t="s">
        <v>757</v>
      </c>
      <c r="F122" s="435">
        <v>5</v>
      </c>
      <c r="G122" s="435">
        <v>1400</v>
      </c>
      <c r="H122" s="435">
        <v>10000</v>
      </c>
      <c r="I122" s="431" t="s">
        <v>777</v>
      </c>
      <c r="J122" s="432" t="s">
        <v>1</v>
      </c>
      <c r="K122" s="432">
        <v>-30</v>
      </c>
      <c r="L122" s="432">
        <v>90</v>
      </c>
      <c r="M122" s="432" t="s">
        <v>577</v>
      </c>
      <c r="N122" s="432">
        <v>70</v>
      </c>
      <c r="O122" s="435" t="s">
        <v>168</v>
      </c>
      <c r="P122" s="435" t="s">
        <v>168</v>
      </c>
      <c r="Q122" s="434">
        <f>C122*((100-Discounts!$B$10)/100)</f>
        <v>15.200000000000001</v>
      </c>
      <c r="R122" t="str">
        <f>IF(ISNUMBER(Table3[[#This Row],[Thickness]]), "Zenith", "")</f>
        <v>Zenith</v>
      </c>
      <c r="S122">
        <v>4</v>
      </c>
      <c r="T122">
        <v>200</v>
      </c>
    </row>
    <row r="123" spans="1:20" x14ac:dyDescent="0.85">
      <c r="A123" s="429" t="s">
        <v>13</v>
      </c>
      <c r="B123" s="429" t="s">
        <v>206</v>
      </c>
      <c r="C123" s="430">
        <v>44.5</v>
      </c>
      <c r="D123" s="430"/>
      <c r="E123" s="430" t="s">
        <v>757</v>
      </c>
      <c r="F123" s="431">
        <v>6</v>
      </c>
      <c r="G123" s="431">
        <v>1200</v>
      </c>
      <c r="H123" s="431">
        <v>10000</v>
      </c>
      <c r="I123" s="431" t="s">
        <v>777</v>
      </c>
      <c r="J123" s="432" t="s">
        <v>1</v>
      </c>
      <c r="K123" s="432">
        <v>-30</v>
      </c>
      <c r="L123" s="432">
        <v>90</v>
      </c>
      <c r="M123" s="432" t="s">
        <v>577</v>
      </c>
      <c r="N123" s="432">
        <v>70</v>
      </c>
      <c r="O123" s="431" t="s">
        <v>168</v>
      </c>
      <c r="P123" s="431" t="s">
        <v>168</v>
      </c>
      <c r="Q123" s="430">
        <f>C123*((100-Discounts!$B$10)/100)</f>
        <v>17.8</v>
      </c>
      <c r="R123" t="str">
        <f>IF(ISNUMBER(Table3[[#This Row],[Thickness]]), "Zenith", "")</f>
        <v>Zenith</v>
      </c>
      <c r="S123">
        <v>4</v>
      </c>
      <c r="T123">
        <v>200</v>
      </c>
    </row>
    <row r="124" spans="1:20" x14ac:dyDescent="0.85">
      <c r="A124" s="433" t="s">
        <v>13</v>
      </c>
      <c r="B124" s="429" t="s">
        <v>206</v>
      </c>
      <c r="C124" s="434">
        <v>44.5</v>
      </c>
      <c r="D124" s="434"/>
      <c r="E124" s="430" t="s">
        <v>757</v>
      </c>
      <c r="F124" s="435">
        <v>6</v>
      </c>
      <c r="G124" s="435">
        <v>1400</v>
      </c>
      <c r="H124" s="435">
        <v>10000</v>
      </c>
      <c r="I124" s="431" t="s">
        <v>777</v>
      </c>
      <c r="J124" s="432" t="s">
        <v>1</v>
      </c>
      <c r="K124" s="432">
        <v>-30</v>
      </c>
      <c r="L124" s="432">
        <v>90</v>
      </c>
      <c r="M124" s="432" t="s">
        <v>577</v>
      </c>
      <c r="N124" s="432">
        <v>70</v>
      </c>
      <c r="O124" s="435" t="s">
        <v>168</v>
      </c>
      <c r="P124" s="435" t="s">
        <v>168</v>
      </c>
      <c r="Q124" s="434">
        <f>C124*((100-Discounts!$B$10)/100)</f>
        <v>17.8</v>
      </c>
      <c r="R124" t="str">
        <f>IF(ISNUMBER(Table3[[#This Row],[Thickness]]), "Zenith", "")</f>
        <v>Zenith</v>
      </c>
      <c r="S124">
        <v>4</v>
      </c>
      <c r="T124">
        <v>200</v>
      </c>
    </row>
    <row r="125" spans="1:20" x14ac:dyDescent="0.85">
      <c r="A125" s="429" t="s">
        <v>14</v>
      </c>
      <c r="B125" s="429" t="s">
        <v>206</v>
      </c>
      <c r="C125" s="430">
        <v>58.25</v>
      </c>
      <c r="D125" s="430"/>
      <c r="E125" s="430" t="s">
        <v>757</v>
      </c>
      <c r="F125" s="431">
        <v>8</v>
      </c>
      <c r="G125" s="431">
        <v>1200</v>
      </c>
      <c r="H125" s="431">
        <v>10000</v>
      </c>
      <c r="I125" s="431" t="s">
        <v>777</v>
      </c>
      <c r="J125" s="432" t="s">
        <v>1</v>
      </c>
      <c r="K125" s="432">
        <v>-30</v>
      </c>
      <c r="L125" s="432">
        <v>90</v>
      </c>
      <c r="M125" s="432" t="s">
        <v>577</v>
      </c>
      <c r="N125" s="432">
        <v>70</v>
      </c>
      <c r="O125" s="431" t="s">
        <v>168</v>
      </c>
      <c r="P125" s="431" t="s">
        <v>168</v>
      </c>
      <c r="Q125" s="430">
        <f>C125*((100-Discounts!$B$10)/100)</f>
        <v>23.3</v>
      </c>
      <c r="R125" t="str">
        <f>IF(ISNUMBER(Table3[[#This Row],[Thickness]]), "Zenith", "")</f>
        <v>Zenith</v>
      </c>
      <c r="S125">
        <v>4</v>
      </c>
      <c r="T125">
        <v>200</v>
      </c>
    </row>
    <row r="126" spans="1:20" x14ac:dyDescent="0.85">
      <c r="A126" s="433" t="s">
        <v>14</v>
      </c>
      <c r="B126" s="429" t="s">
        <v>206</v>
      </c>
      <c r="C126" s="434">
        <v>58.25</v>
      </c>
      <c r="D126" s="434"/>
      <c r="E126" s="430" t="s">
        <v>757</v>
      </c>
      <c r="F126" s="435">
        <v>8</v>
      </c>
      <c r="G126" s="435">
        <v>1400</v>
      </c>
      <c r="H126" s="435">
        <v>10000</v>
      </c>
      <c r="I126" s="431" t="s">
        <v>777</v>
      </c>
      <c r="J126" s="432" t="s">
        <v>1</v>
      </c>
      <c r="K126" s="432">
        <v>-30</v>
      </c>
      <c r="L126" s="432">
        <v>90</v>
      </c>
      <c r="M126" s="432" t="s">
        <v>577</v>
      </c>
      <c r="N126" s="432">
        <v>70</v>
      </c>
      <c r="O126" s="435" t="s">
        <v>168</v>
      </c>
      <c r="P126" s="435" t="s">
        <v>168</v>
      </c>
      <c r="Q126" s="434">
        <f>C126*((100-Discounts!$B$10)/100)</f>
        <v>23.3</v>
      </c>
      <c r="R126" t="str">
        <f>IF(ISNUMBER(Table3[[#This Row],[Thickness]]), "Zenith", "")</f>
        <v>Zenith</v>
      </c>
      <c r="S126">
        <v>4</v>
      </c>
      <c r="T126">
        <v>200</v>
      </c>
    </row>
    <row r="127" spans="1:20" x14ac:dyDescent="0.85">
      <c r="A127" s="429" t="s">
        <v>14</v>
      </c>
      <c r="B127" s="429" t="s">
        <v>206</v>
      </c>
      <c r="C127" s="430">
        <v>58.25</v>
      </c>
      <c r="D127" s="430"/>
      <c r="E127" s="430" t="s">
        <v>757</v>
      </c>
      <c r="F127" s="431">
        <v>8</v>
      </c>
      <c r="G127" s="431">
        <v>1400</v>
      </c>
      <c r="H127" s="431">
        <v>5000</v>
      </c>
      <c r="I127" s="431" t="s">
        <v>777</v>
      </c>
      <c r="J127" s="432" t="s">
        <v>1</v>
      </c>
      <c r="K127" s="432">
        <v>-30</v>
      </c>
      <c r="L127" s="432">
        <v>90</v>
      </c>
      <c r="M127" s="432" t="s">
        <v>577</v>
      </c>
      <c r="N127" s="432">
        <v>70</v>
      </c>
      <c r="O127" s="431" t="s">
        <v>168</v>
      </c>
      <c r="P127" s="431" t="s">
        <v>168</v>
      </c>
      <c r="Q127" s="430">
        <f>C127*((100-Discounts!$B$10)/100)</f>
        <v>23.3</v>
      </c>
      <c r="R127" t="str">
        <f>IF(ISNUMBER(Table3[[#This Row],[Thickness]]), "Zenith", "")</f>
        <v>Zenith</v>
      </c>
      <c r="S127">
        <v>4</v>
      </c>
      <c r="T127">
        <v>200</v>
      </c>
    </row>
    <row r="128" spans="1:20" x14ac:dyDescent="0.85">
      <c r="A128" s="433" t="s">
        <v>15</v>
      </c>
      <c r="B128" s="429" t="s">
        <v>206</v>
      </c>
      <c r="C128" s="434">
        <v>71.25</v>
      </c>
      <c r="D128" s="434"/>
      <c r="E128" s="430" t="s">
        <v>757</v>
      </c>
      <c r="F128" s="435">
        <v>10</v>
      </c>
      <c r="G128" s="435">
        <v>1000</v>
      </c>
      <c r="H128" s="435">
        <v>5000</v>
      </c>
      <c r="I128" s="431" t="s">
        <v>777</v>
      </c>
      <c r="J128" s="432" t="s">
        <v>1</v>
      </c>
      <c r="K128" s="432">
        <v>-30</v>
      </c>
      <c r="L128" s="432">
        <v>90</v>
      </c>
      <c r="M128" s="432" t="s">
        <v>577</v>
      </c>
      <c r="N128" s="432">
        <v>70</v>
      </c>
      <c r="O128" s="435" t="s">
        <v>168</v>
      </c>
      <c r="P128" s="435" t="s">
        <v>168</v>
      </c>
      <c r="Q128" s="434">
        <f>C128*((100-Discounts!$B$10)/100)</f>
        <v>28.5</v>
      </c>
      <c r="R128" t="str">
        <f>IF(ISNUMBER(Table3[[#This Row],[Thickness]]), "Zenith", "")</f>
        <v>Zenith</v>
      </c>
      <c r="S128">
        <v>4</v>
      </c>
      <c r="T128">
        <v>200</v>
      </c>
    </row>
    <row r="129" spans="1:20" x14ac:dyDescent="0.85">
      <c r="A129" s="429" t="s">
        <v>15</v>
      </c>
      <c r="B129" s="429" t="s">
        <v>206</v>
      </c>
      <c r="C129" s="430">
        <v>71.25</v>
      </c>
      <c r="D129" s="430"/>
      <c r="E129" s="430" t="s">
        <v>757</v>
      </c>
      <c r="F129" s="431">
        <v>10</v>
      </c>
      <c r="G129" s="431">
        <v>1200</v>
      </c>
      <c r="H129" s="431">
        <v>10000</v>
      </c>
      <c r="I129" s="431" t="s">
        <v>777</v>
      </c>
      <c r="J129" s="432" t="s">
        <v>1</v>
      </c>
      <c r="K129" s="432">
        <v>-30</v>
      </c>
      <c r="L129" s="432">
        <v>90</v>
      </c>
      <c r="M129" s="432" t="s">
        <v>577</v>
      </c>
      <c r="N129" s="432">
        <v>70</v>
      </c>
      <c r="O129" s="431" t="s">
        <v>168</v>
      </c>
      <c r="P129" s="431" t="s">
        <v>168</v>
      </c>
      <c r="Q129" s="430">
        <f>C129*((100-Discounts!$B$10)/100)</f>
        <v>28.5</v>
      </c>
      <c r="R129" t="str">
        <f>IF(ISNUMBER(Table3[[#This Row],[Thickness]]), "Zenith", "")</f>
        <v>Zenith</v>
      </c>
      <c r="S129">
        <v>4</v>
      </c>
      <c r="T129">
        <v>200</v>
      </c>
    </row>
    <row r="130" spans="1:20" x14ac:dyDescent="0.85">
      <c r="A130" s="433" t="s">
        <v>15</v>
      </c>
      <c r="B130" s="429" t="s">
        <v>206</v>
      </c>
      <c r="C130" s="434">
        <v>71.25</v>
      </c>
      <c r="D130" s="434"/>
      <c r="E130" s="430" t="s">
        <v>757</v>
      </c>
      <c r="F130" s="435">
        <v>10</v>
      </c>
      <c r="G130" s="435">
        <v>1400</v>
      </c>
      <c r="H130" s="435">
        <v>5000</v>
      </c>
      <c r="I130" s="431" t="s">
        <v>777</v>
      </c>
      <c r="J130" s="432" t="s">
        <v>1</v>
      </c>
      <c r="K130" s="432">
        <v>-30</v>
      </c>
      <c r="L130" s="432">
        <v>90</v>
      </c>
      <c r="M130" s="432" t="s">
        <v>577</v>
      </c>
      <c r="N130" s="432">
        <v>70</v>
      </c>
      <c r="O130" s="435" t="s">
        <v>168</v>
      </c>
      <c r="P130" s="435" t="s">
        <v>168</v>
      </c>
      <c r="Q130" s="434">
        <f>C130*((100-Discounts!$B$10)/100)</f>
        <v>28.5</v>
      </c>
      <c r="R130" t="str">
        <f>IF(ISNUMBER(Table3[[#This Row],[Thickness]]), "Zenith", "")</f>
        <v>Zenith</v>
      </c>
      <c r="S130">
        <v>4</v>
      </c>
      <c r="T130">
        <v>200</v>
      </c>
    </row>
    <row r="131" spans="1:20" x14ac:dyDescent="0.85">
      <c r="A131" s="429" t="s">
        <v>15</v>
      </c>
      <c r="B131" s="429" t="s">
        <v>206</v>
      </c>
      <c r="C131" s="430">
        <v>71.25</v>
      </c>
      <c r="D131" s="430"/>
      <c r="E131" s="430" t="s">
        <v>757</v>
      </c>
      <c r="F131" s="431">
        <v>10</v>
      </c>
      <c r="G131" s="431">
        <v>1400</v>
      </c>
      <c r="H131" s="431">
        <v>10000</v>
      </c>
      <c r="I131" s="431" t="s">
        <v>777</v>
      </c>
      <c r="J131" s="432" t="s">
        <v>1</v>
      </c>
      <c r="K131" s="432">
        <v>-30</v>
      </c>
      <c r="L131" s="432">
        <v>90</v>
      </c>
      <c r="M131" s="432" t="s">
        <v>577</v>
      </c>
      <c r="N131" s="432">
        <v>70</v>
      </c>
      <c r="O131" s="431" t="s">
        <v>168</v>
      </c>
      <c r="P131" s="431" t="s">
        <v>168</v>
      </c>
      <c r="Q131" s="430">
        <f>C131*((100-Discounts!$B$10)/100)</f>
        <v>28.5</v>
      </c>
      <c r="R131" t="str">
        <f>IF(ISNUMBER(Table3[[#This Row],[Thickness]]), "Zenith", "")</f>
        <v>Zenith</v>
      </c>
      <c r="S131">
        <v>4</v>
      </c>
      <c r="T131">
        <v>200</v>
      </c>
    </row>
    <row r="132" spans="1:20" x14ac:dyDescent="0.85">
      <c r="A132" s="433" t="s">
        <v>15</v>
      </c>
      <c r="B132" s="429" t="s">
        <v>206</v>
      </c>
      <c r="C132" s="434">
        <v>71.25</v>
      </c>
      <c r="D132" s="434"/>
      <c r="E132" s="430" t="s">
        <v>757</v>
      </c>
      <c r="F132" s="435">
        <v>10</v>
      </c>
      <c r="G132" s="435">
        <v>1500</v>
      </c>
      <c r="H132" s="435">
        <v>5000</v>
      </c>
      <c r="I132" s="431" t="s">
        <v>777</v>
      </c>
      <c r="J132" s="432" t="s">
        <v>1</v>
      </c>
      <c r="K132" s="432">
        <v>-30</v>
      </c>
      <c r="L132" s="432">
        <v>90</v>
      </c>
      <c r="M132" s="432" t="s">
        <v>577</v>
      </c>
      <c r="N132" s="432">
        <v>70</v>
      </c>
      <c r="O132" s="435" t="s">
        <v>168</v>
      </c>
      <c r="P132" s="435" t="s">
        <v>168</v>
      </c>
      <c r="Q132" s="434">
        <f>C132*((100-Discounts!$B$10)/100)</f>
        <v>28.5</v>
      </c>
      <c r="R132" t="str">
        <f>IF(ISNUMBER(Table3[[#This Row],[Thickness]]), "Zenith", "")</f>
        <v>Zenith</v>
      </c>
      <c r="S132">
        <v>4</v>
      </c>
      <c r="T132">
        <v>200</v>
      </c>
    </row>
    <row r="133" spans="1:20" x14ac:dyDescent="0.85">
      <c r="A133" s="429" t="s">
        <v>15</v>
      </c>
      <c r="B133" s="429" t="s">
        <v>206</v>
      </c>
      <c r="C133" s="430">
        <v>71.25</v>
      </c>
      <c r="D133" s="430"/>
      <c r="E133" s="430" t="s">
        <v>757</v>
      </c>
      <c r="F133" s="431">
        <v>10</v>
      </c>
      <c r="G133" s="431">
        <v>1500</v>
      </c>
      <c r="H133" s="431">
        <v>10000</v>
      </c>
      <c r="I133" s="431" t="s">
        <v>777</v>
      </c>
      <c r="J133" s="432" t="s">
        <v>1</v>
      </c>
      <c r="K133" s="432">
        <v>-30</v>
      </c>
      <c r="L133" s="432">
        <v>90</v>
      </c>
      <c r="M133" s="432" t="s">
        <v>577</v>
      </c>
      <c r="N133" s="432">
        <v>70</v>
      </c>
      <c r="O133" s="431" t="s">
        <v>168</v>
      </c>
      <c r="P133" s="431" t="s">
        <v>168</v>
      </c>
      <c r="Q133" s="430">
        <f>C133*((100-Discounts!$B$10)/100)</f>
        <v>28.5</v>
      </c>
      <c r="R133" t="str">
        <f>IF(ISNUMBER(Table3[[#This Row],[Thickness]]), "Zenith", "")</f>
        <v>Zenith</v>
      </c>
      <c r="S133">
        <v>4</v>
      </c>
      <c r="T133">
        <v>200</v>
      </c>
    </row>
    <row r="134" spans="1:20" x14ac:dyDescent="0.85">
      <c r="A134" s="433" t="s">
        <v>15</v>
      </c>
      <c r="B134" s="429" t="s">
        <v>206</v>
      </c>
      <c r="C134" s="434">
        <v>71.25</v>
      </c>
      <c r="D134" s="434"/>
      <c r="E134" s="430" t="s">
        <v>757</v>
      </c>
      <c r="F134" s="435">
        <v>10</v>
      </c>
      <c r="G134" s="435">
        <v>1800</v>
      </c>
      <c r="H134" s="435">
        <v>5000</v>
      </c>
      <c r="I134" s="431" t="s">
        <v>777</v>
      </c>
      <c r="J134" s="432" t="s">
        <v>1</v>
      </c>
      <c r="K134" s="432">
        <v>-30</v>
      </c>
      <c r="L134" s="432">
        <v>90</v>
      </c>
      <c r="M134" s="432" t="s">
        <v>577</v>
      </c>
      <c r="N134" s="432">
        <v>70</v>
      </c>
      <c r="O134" s="435" t="s">
        <v>168</v>
      </c>
      <c r="P134" s="435" t="s">
        <v>168</v>
      </c>
      <c r="Q134" s="434">
        <f>C134*((100-Discounts!$B$10)/100)</f>
        <v>28.5</v>
      </c>
      <c r="R134" t="str">
        <f>IF(ISNUMBER(Table3[[#This Row],[Thickness]]), "Zenith", "")</f>
        <v>Zenith</v>
      </c>
      <c r="S134">
        <v>4</v>
      </c>
      <c r="T134">
        <v>200</v>
      </c>
    </row>
    <row r="135" spans="1:20" x14ac:dyDescent="0.85">
      <c r="A135" s="429" t="s">
        <v>16</v>
      </c>
      <c r="B135" s="429" t="s">
        <v>206</v>
      </c>
      <c r="C135" s="430">
        <v>84</v>
      </c>
      <c r="D135" s="430"/>
      <c r="E135" s="430" t="s">
        <v>757</v>
      </c>
      <c r="F135" s="431">
        <v>12</v>
      </c>
      <c r="G135" s="431">
        <v>1400</v>
      </c>
      <c r="H135" s="431">
        <v>5000</v>
      </c>
      <c r="I135" s="431" t="s">
        <v>777</v>
      </c>
      <c r="J135" s="432" t="s">
        <v>1</v>
      </c>
      <c r="K135" s="432">
        <v>-30</v>
      </c>
      <c r="L135" s="432">
        <v>90</v>
      </c>
      <c r="M135" s="432" t="s">
        <v>577</v>
      </c>
      <c r="N135" s="432">
        <v>70</v>
      </c>
      <c r="O135" s="431" t="s">
        <v>168</v>
      </c>
      <c r="P135" s="431" t="s">
        <v>168</v>
      </c>
      <c r="Q135" s="430">
        <f>C135*((100-Discounts!$B$10)/100)</f>
        <v>33.6</v>
      </c>
      <c r="R135" t="str">
        <f>IF(ISNUMBER(Table3[[#This Row],[Thickness]]), "Zenith", "")</f>
        <v>Zenith</v>
      </c>
      <c r="S135">
        <v>4</v>
      </c>
      <c r="T135">
        <v>200</v>
      </c>
    </row>
    <row r="136" spans="1:20" x14ac:dyDescent="0.85">
      <c r="A136" s="433" t="s">
        <v>17</v>
      </c>
      <c r="B136" s="429" t="s">
        <v>206</v>
      </c>
      <c r="C136" s="434">
        <v>104</v>
      </c>
      <c r="D136" s="434"/>
      <c r="E136" s="430" t="s">
        <v>757</v>
      </c>
      <c r="F136" s="435">
        <v>15</v>
      </c>
      <c r="G136" s="435">
        <v>1400</v>
      </c>
      <c r="H136" s="435">
        <v>5000</v>
      </c>
      <c r="I136" s="431" t="s">
        <v>777</v>
      </c>
      <c r="J136" s="432" t="s">
        <v>1</v>
      </c>
      <c r="K136" s="432">
        <v>-30</v>
      </c>
      <c r="L136" s="432">
        <v>90</v>
      </c>
      <c r="M136" s="432" t="s">
        <v>577</v>
      </c>
      <c r="N136" s="432">
        <v>70</v>
      </c>
      <c r="O136" s="435" t="s">
        <v>168</v>
      </c>
      <c r="P136" s="435" t="s">
        <v>168</v>
      </c>
      <c r="Q136" s="434">
        <f>C136*((100-Discounts!$B$10)/100)</f>
        <v>41.6</v>
      </c>
      <c r="R136" t="str">
        <f>IF(ISNUMBER(Table3[[#This Row],[Thickness]]), "Zenith", "")</f>
        <v>Zenith</v>
      </c>
      <c r="S136">
        <v>4</v>
      </c>
      <c r="T136">
        <v>200</v>
      </c>
    </row>
    <row r="137" spans="1:20" x14ac:dyDescent="0.85">
      <c r="A137" s="429" t="s">
        <v>18</v>
      </c>
      <c r="B137" s="429" t="s">
        <v>206</v>
      </c>
      <c r="C137" s="430">
        <v>137.25</v>
      </c>
      <c r="D137" s="430"/>
      <c r="E137" s="430" t="s">
        <v>757</v>
      </c>
      <c r="F137" s="431">
        <v>20</v>
      </c>
      <c r="G137" s="431">
        <v>1400</v>
      </c>
      <c r="H137" s="431">
        <v>5000</v>
      </c>
      <c r="I137" s="431" t="s">
        <v>777</v>
      </c>
      <c r="J137" s="432" t="s">
        <v>1</v>
      </c>
      <c r="K137" s="432">
        <v>-30</v>
      </c>
      <c r="L137" s="432">
        <v>90</v>
      </c>
      <c r="M137" s="432" t="s">
        <v>577</v>
      </c>
      <c r="N137" s="432">
        <v>70</v>
      </c>
      <c r="O137" s="431" t="s">
        <v>168</v>
      </c>
      <c r="P137" s="431" t="s">
        <v>168</v>
      </c>
      <c r="Q137" s="430">
        <f>C137*((100-Discounts!$B$10)/100)</f>
        <v>54.900000000000006</v>
      </c>
      <c r="R137" t="str">
        <f>IF(ISNUMBER(Table3[[#This Row],[Thickness]]), "Zenith", "")</f>
        <v>Zenith</v>
      </c>
      <c r="S137">
        <v>4</v>
      </c>
      <c r="T137">
        <v>200</v>
      </c>
    </row>
    <row r="138" spans="1:20" x14ac:dyDescent="0.85">
      <c r="A138" s="433" t="s">
        <v>310</v>
      </c>
      <c r="B138" s="429" t="s">
        <v>206</v>
      </c>
      <c r="C138" s="434">
        <v>171.75</v>
      </c>
      <c r="D138" s="434"/>
      <c r="E138" s="430" t="s">
        <v>757</v>
      </c>
      <c r="F138" s="435">
        <v>25</v>
      </c>
      <c r="G138" s="435">
        <v>1400</v>
      </c>
      <c r="H138" s="435">
        <v>5000</v>
      </c>
      <c r="I138" s="431" t="s">
        <v>777</v>
      </c>
      <c r="J138" s="432" t="s">
        <v>1</v>
      </c>
      <c r="K138" s="432">
        <v>-30</v>
      </c>
      <c r="L138" s="432">
        <v>90</v>
      </c>
      <c r="M138" s="432" t="s">
        <v>577</v>
      </c>
      <c r="N138" s="432">
        <v>70</v>
      </c>
      <c r="O138" s="435" t="s">
        <v>168</v>
      </c>
      <c r="P138" s="435" t="s">
        <v>168</v>
      </c>
      <c r="Q138" s="434">
        <f>C138*((100-Discounts!$B$10)/100)</f>
        <v>68.7</v>
      </c>
      <c r="R138" t="str">
        <f>IF(ISNUMBER(Table3[[#This Row],[Thickness]]), "Zenith", "")</f>
        <v>Zenith</v>
      </c>
      <c r="S138">
        <v>4</v>
      </c>
      <c r="T138">
        <v>200</v>
      </c>
    </row>
    <row r="139" spans="1:20" ht="27" thickBot="1" x14ac:dyDescent="0.9">
      <c r="A139" s="357"/>
      <c r="B139" s="358"/>
      <c r="C139" s="359"/>
      <c r="D139" s="359"/>
      <c r="E139" s="359"/>
      <c r="F139" s="360" t="s">
        <v>358</v>
      </c>
      <c r="G139" s="360">
        <v>0</v>
      </c>
      <c r="H139" s="325">
        <v>0</v>
      </c>
      <c r="I139" s="217" t="s">
        <v>777</v>
      </c>
      <c r="M139" s="353"/>
      <c r="N139" s="349"/>
      <c r="O139" s="325"/>
      <c r="P139" s="325"/>
      <c r="Q139" s="361" t="s">
        <v>323</v>
      </c>
      <c r="R139" t="str">
        <f>IF(ISNUMBER(Table3[[#This Row],[Thickness]]), "Zenith", "")</f>
        <v/>
      </c>
    </row>
    <row r="140" spans="1:20" ht="54" thickTop="1" thickBot="1" x14ac:dyDescent="0.9">
      <c r="A140" s="102" t="s">
        <v>322</v>
      </c>
      <c r="B140" s="296"/>
      <c r="C140" s="242" t="s">
        <v>179</v>
      </c>
      <c r="D140" s="312"/>
      <c r="E140" s="312"/>
      <c r="F140" s="240" t="s">
        <v>320</v>
      </c>
      <c r="G140" s="240" t="e">
        <v>#VALUE!</v>
      </c>
      <c r="H140" s="241" t="e">
        <v>#VALUE!</v>
      </c>
      <c r="I140" s="217" t="s">
        <v>777</v>
      </c>
      <c r="M140" s="231"/>
      <c r="N140" s="233"/>
      <c r="O140" s="241" t="s">
        <v>171</v>
      </c>
      <c r="P140" s="241" t="s">
        <v>325</v>
      </c>
      <c r="Q140" s="242" t="s">
        <v>199</v>
      </c>
      <c r="R140" t="str">
        <f>IF(ISNUMBER(Table3[[#This Row],[Thickness]]), "Zenith", "")</f>
        <v/>
      </c>
    </row>
    <row r="141" spans="1:20" ht="27" thickTop="1" x14ac:dyDescent="0.85">
      <c r="A141" s="429" t="s">
        <v>5</v>
      </c>
      <c r="B141" s="429" t="s">
        <v>761</v>
      </c>
      <c r="C141" s="430">
        <v>19.25</v>
      </c>
      <c r="D141" s="430"/>
      <c r="E141" s="430" t="s">
        <v>757</v>
      </c>
      <c r="F141" s="431">
        <v>1.5</v>
      </c>
      <c r="G141" s="431">
        <v>1400</v>
      </c>
      <c r="H141" s="431">
        <v>10000</v>
      </c>
      <c r="I141" s="431" t="s">
        <v>777</v>
      </c>
      <c r="J141" s="432" t="s">
        <v>1</v>
      </c>
      <c r="K141" s="432">
        <v>-30</v>
      </c>
      <c r="L141" s="432">
        <v>90</v>
      </c>
      <c r="M141" s="432" t="s">
        <v>577</v>
      </c>
      <c r="N141" s="432">
        <v>70</v>
      </c>
      <c r="O141" s="431">
        <v>1</v>
      </c>
      <c r="P141" s="431" t="s">
        <v>178</v>
      </c>
      <c r="Q141" s="430">
        <f>C141*((100-Discounts!$B$10)/100)</f>
        <v>7.7</v>
      </c>
      <c r="R141" t="str">
        <f>IF(ISNUMBER(Table3[[#This Row],[Thickness]]), "Zenith", "")</f>
        <v>Zenith</v>
      </c>
      <c r="S141">
        <v>4</v>
      </c>
      <c r="T141">
        <v>200</v>
      </c>
    </row>
    <row r="142" spans="1:20" x14ac:dyDescent="0.85">
      <c r="A142" s="433" t="s">
        <v>5</v>
      </c>
      <c r="B142" s="429" t="s">
        <v>761</v>
      </c>
      <c r="C142" s="434">
        <v>19.25</v>
      </c>
      <c r="D142" s="434"/>
      <c r="E142" s="430" t="s">
        <v>757</v>
      </c>
      <c r="F142" s="435">
        <v>1.5</v>
      </c>
      <c r="G142" s="435">
        <v>1400</v>
      </c>
      <c r="H142" s="435">
        <v>15000</v>
      </c>
      <c r="I142" s="431" t="s">
        <v>777</v>
      </c>
      <c r="J142" s="432" t="s">
        <v>1</v>
      </c>
      <c r="K142" s="432">
        <v>-30</v>
      </c>
      <c r="L142" s="432">
        <v>90</v>
      </c>
      <c r="M142" s="432" t="s">
        <v>577</v>
      </c>
      <c r="N142" s="432">
        <v>70</v>
      </c>
      <c r="O142" s="435">
        <v>1</v>
      </c>
      <c r="P142" s="435" t="s">
        <v>178</v>
      </c>
      <c r="Q142" s="434">
        <f>C142*((100-Discounts!$B$10)/100)</f>
        <v>7.7</v>
      </c>
      <c r="R142" t="str">
        <f>IF(ISNUMBER(Table3[[#This Row],[Thickness]]), "Zenith", "")</f>
        <v>Zenith</v>
      </c>
      <c r="S142">
        <v>4</v>
      </c>
      <c r="T142">
        <v>200</v>
      </c>
    </row>
    <row r="143" spans="1:20" x14ac:dyDescent="0.85">
      <c r="A143" s="429" t="s">
        <v>6</v>
      </c>
      <c r="B143" s="429" t="s">
        <v>761</v>
      </c>
      <c r="C143" s="430">
        <v>22.25</v>
      </c>
      <c r="D143" s="430"/>
      <c r="E143" s="430" t="s">
        <v>757</v>
      </c>
      <c r="F143" s="431">
        <v>2</v>
      </c>
      <c r="G143" s="431">
        <v>1200</v>
      </c>
      <c r="H143" s="431">
        <v>10000</v>
      </c>
      <c r="I143" s="431" t="s">
        <v>777</v>
      </c>
      <c r="J143" s="432" t="s">
        <v>1</v>
      </c>
      <c r="K143" s="432">
        <v>-30</v>
      </c>
      <c r="L143" s="432">
        <v>90</v>
      </c>
      <c r="M143" s="432" t="s">
        <v>577</v>
      </c>
      <c r="N143" s="432">
        <v>70</v>
      </c>
      <c r="O143" s="431">
        <v>1</v>
      </c>
      <c r="P143" s="431" t="s">
        <v>178</v>
      </c>
      <c r="Q143" s="430">
        <f>C143*((100-Discounts!$B$10)/100)</f>
        <v>8.9</v>
      </c>
      <c r="R143" t="str">
        <f>IF(ISNUMBER(Table3[[#This Row],[Thickness]]), "Zenith", "")</f>
        <v>Zenith</v>
      </c>
      <c r="S143">
        <v>4</v>
      </c>
      <c r="T143">
        <v>200</v>
      </c>
    </row>
    <row r="144" spans="1:20" x14ac:dyDescent="0.85">
      <c r="A144" s="433" t="s">
        <v>6</v>
      </c>
      <c r="B144" s="429" t="s">
        <v>761</v>
      </c>
      <c r="C144" s="434">
        <v>22.25</v>
      </c>
      <c r="D144" s="434"/>
      <c r="E144" s="430" t="s">
        <v>757</v>
      </c>
      <c r="F144" s="435">
        <v>2</v>
      </c>
      <c r="G144" s="435">
        <v>1400</v>
      </c>
      <c r="H144" s="435">
        <v>10000</v>
      </c>
      <c r="I144" s="431" t="s">
        <v>777</v>
      </c>
      <c r="J144" s="432" t="s">
        <v>1</v>
      </c>
      <c r="K144" s="432">
        <v>-30</v>
      </c>
      <c r="L144" s="432">
        <v>90</v>
      </c>
      <c r="M144" s="432" t="s">
        <v>577</v>
      </c>
      <c r="N144" s="432">
        <v>70</v>
      </c>
      <c r="O144" s="435">
        <v>1</v>
      </c>
      <c r="P144" s="435" t="s">
        <v>178</v>
      </c>
      <c r="Q144" s="434">
        <f>C144*((100-Discounts!$B$10)/100)</f>
        <v>8.9</v>
      </c>
      <c r="R144" t="str">
        <f>IF(ISNUMBER(Table3[[#This Row],[Thickness]]), "Zenith", "")</f>
        <v>Zenith</v>
      </c>
      <c r="S144">
        <v>4</v>
      </c>
      <c r="T144">
        <v>200</v>
      </c>
    </row>
    <row r="145" spans="1:20" x14ac:dyDescent="0.85">
      <c r="A145" s="429" t="s">
        <v>8</v>
      </c>
      <c r="B145" s="429" t="s">
        <v>761</v>
      </c>
      <c r="C145" s="430">
        <v>29</v>
      </c>
      <c r="D145" s="430"/>
      <c r="E145" s="430" t="s">
        <v>757</v>
      </c>
      <c r="F145" s="431">
        <v>3</v>
      </c>
      <c r="G145" s="431">
        <v>1200</v>
      </c>
      <c r="H145" s="431">
        <v>10000</v>
      </c>
      <c r="I145" s="431" t="s">
        <v>777</v>
      </c>
      <c r="J145" s="432" t="s">
        <v>1</v>
      </c>
      <c r="K145" s="432">
        <v>-30</v>
      </c>
      <c r="L145" s="432">
        <v>90</v>
      </c>
      <c r="M145" s="432" t="s">
        <v>577</v>
      </c>
      <c r="N145" s="432">
        <v>70</v>
      </c>
      <c r="O145" s="431">
        <v>1</v>
      </c>
      <c r="P145" s="431" t="s">
        <v>178</v>
      </c>
      <c r="Q145" s="430">
        <f>C145*((100-Discounts!$B$10)/100)</f>
        <v>11.600000000000001</v>
      </c>
      <c r="R145" t="str">
        <f>IF(ISNUMBER(Table3[[#This Row],[Thickness]]), "Zenith", "")</f>
        <v>Zenith</v>
      </c>
      <c r="S145">
        <v>4</v>
      </c>
      <c r="T145">
        <v>200</v>
      </c>
    </row>
    <row r="146" spans="1:20" x14ac:dyDescent="0.85">
      <c r="A146" s="433" t="s">
        <v>8</v>
      </c>
      <c r="B146" s="429" t="s">
        <v>761</v>
      </c>
      <c r="C146" s="434">
        <v>29</v>
      </c>
      <c r="D146" s="434"/>
      <c r="E146" s="430" t="s">
        <v>757</v>
      </c>
      <c r="F146" s="435">
        <v>3</v>
      </c>
      <c r="G146" s="435">
        <v>1400</v>
      </c>
      <c r="H146" s="435">
        <v>10000</v>
      </c>
      <c r="I146" s="431" t="s">
        <v>777</v>
      </c>
      <c r="J146" s="432" t="s">
        <v>1</v>
      </c>
      <c r="K146" s="432">
        <v>-30</v>
      </c>
      <c r="L146" s="432">
        <v>90</v>
      </c>
      <c r="M146" s="432" t="s">
        <v>577</v>
      </c>
      <c r="N146" s="432">
        <v>70</v>
      </c>
      <c r="O146" s="435">
        <v>1</v>
      </c>
      <c r="P146" s="435" t="s">
        <v>178</v>
      </c>
      <c r="Q146" s="434">
        <f>C146*((100-Discounts!$B$10)/100)</f>
        <v>11.600000000000001</v>
      </c>
      <c r="R146" t="str">
        <f>IF(ISNUMBER(Table3[[#This Row],[Thickness]]), "Zenith", "")</f>
        <v>Zenith</v>
      </c>
      <c r="S146">
        <v>4</v>
      </c>
      <c r="T146">
        <v>200</v>
      </c>
    </row>
    <row r="147" spans="1:20" x14ac:dyDescent="0.85">
      <c r="A147" s="429" t="s">
        <v>726</v>
      </c>
      <c r="B147" s="429" t="s">
        <v>761</v>
      </c>
      <c r="C147" s="430">
        <v>35</v>
      </c>
      <c r="D147" s="430"/>
      <c r="E147" s="430" t="s">
        <v>757</v>
      </c>
      <c r="F147" s="431">
        <v>3</v>
      </c>
      <c r="G147" s="431">
        <v>1200</v>
      </c>
      <c r="H147" s="431">
        <v>10000</v>
      </c>
      <c r="I147" s="431" t="s">
        <v>777</v>
      </c>
      <c r="J147" s="432" t="s">
        <v>1</v>
      </c>
      <c r="K147" s="432">
        <v>-30</v>
      </c>
      <c r="L147" s="432">
        <v>90</v>
      </c>
      <c r="M147" s="432" t="s">
        <v>577</v>
      </c>
      <c r="N147" s="432">
        <v>70</v>
      </c>
      <c r="O147" s="431">
        <v>2</v>
      </c>
      <c r="P147" s="431" t="s">
        <v>178</v>
      </c>
      <c r="Q147" s="430">
        <f>C147*((100-Discounts!$B$10)/100)</f>
        <v>14</v>
      </c>
      <c r="R147" t="str">
        <f>IF(ISNUMBER(Table3[[#This Row],[Thickness]]), "Zenith", "")</f>
        <v>Zenith</v>
      </c>
      <c r="S147">
        <v>4</v>
      </c>
      <c r="T147">
        <v>200</v>
      </c>
    </row>
    <row r="148" spans="1:20" x14ac:dyDescent="0.85">
      <c r="A148" s="433" t="s">
        <v>726</v>
      </c>
      <c r="B148" s="429" t="s">
        <v>761</v>
      </c>
      <c r="C148" s="434">
        <v>35</v>
      </c>
      <c r="D148" s="434"/>
      <c r="E148" s="430" t="s">
        <v>757</v>
      </c>
      <c r="F148" s="435">
        <v>3</v>
      </c>
      <c r="G148" s="435">
        <v>1400</v>
      </c>
      <c r="H148" s="435">
        <v>10000</v>
      </c>
      <c r="I148" s="431" t="s">
        <v>777</v>
      </c>
      <c r="J148" s="432" t="s">
        <v>1</v>
      </c>
      <c r="K148" s="432">
        <v>-30</v>
      </c>
      <c r="L148" s="432">
        <v>90</v>
      </c>
      <c r="M148" s="432" t="s">
        <v>577</v>
      </c>
      <c r="N148" s="432">
        <v>70</v>
      </c>
      <c r="O148" s="435">
        <v>2</v>
      </c>
      <c r="P148" s="435" t="s">
        <v>178</v>
      </c>
      <c r="Q148" s="434">
        <f>C148*((100-Discounts!$B$10)/100)</f>
        <v>14</v>
      </c>
      <c r="R148" t="str">
        <f>IF(ISNUMBER(Table3[[#This Row],[Thickness]]), "Zenith", "")</f>
        <v>Zenith</v>
      </c>
      <c r="S148">
        <v>4</v>
      </c>
      <c r="T148">
        <v>200</v>
      </c>
    </row>
    <row r="149" spans="1:20" x14ac:dyDescent="0.85">
      <c r="A149" s="429" t="s">
        <v>10</v>
      </c>
      <c r="B149" s="429" t="s">
        <v>761</v>
      </c>
      <c r="C149" s="430">
        <v>36.5</v>
      </c>
      <c r="D149" s="430"/>
      <c r="E149" s="430" t="s">
        <v>757</v>
      </c>
      <c r="F149" s="431">
        <v>4</v>
      </c>
      <c r="G149" s="431">
        <v>1200</v>
      </c>
      <c r="H149" s="431">
        <v>10000</v>
      </c>
      <c r="I149" s="431" t="s">
        <v>777</v>
      </c>
      <c r="J149" s="432" t="s">
        <v>1</v>
      </c>
      <c r="K149" s="432">
        <v>-30</v>
      </c>
      <c r="L149" s="432">
        <v>90</v>
      </c>
      <c r="M149" s="432" t="s">
        <v>577</v>
      </c>
      <c r="N149" s="432">
        <v>70</v>
      </c>
      <c r="O149" s="431">
        <v>1</v>
      </c>
      <c r="P149" s="431" t="s">
        <v>178</v>
      </c>
      <c r="Q149" s="430">
        <f>C149*((100-Discounts!$B$10)/100)</f>
        <v>14.600000000000001</v>
      </c>
      <c r="R149" t="str">
        <f>IF(ISNUMBER(Table3[[#This Row],[Thickness]]), "Zenith", "")</f>
        <v>Zenith</v>
      </c>
      <c r="S149">
        <v>4</v>
      </c>
      <c r="T149">
        <v>200</v>
      </c>
    </row>
    <row r="150" spans="1:20" x14ac:dyDescent="0.85">
      <c r="A150" s="433" t="s">
        <v>10</v>
      </c>
      <c r="B150" s="429" t="s">
        <v>761</v>
      </c>
      <c r="C150" s="434">
        <v>36.5</v>
      </c>
      <c r="D150" s="434"/>
      <c r="E150" s="430" t="s">
        <v>757</v>
      </c>
      <c r="F150" s="435">
        <v>4</v>
      </c>
      <c r="G150" s="435">
        <v>1400</v>
      </c>
      <c r="H150" s="435">
        <v>10000</v>
      </c>
      <c r="I150" s="431" t="s">
        <v>777</v>
      </c>
      <c r="J150" s="432" t="s">
        <v>1</v>
      </c>
      <c r="K150" s="432">
        <v>-30</v>
      </c>
      <c r="L150" s="432">
        <v>90</v>
      </c>
      <c r="M150" s="432" t="s">
        <v>577</v>
      </c>
      <c r="N150" s="432">
        <v>70</v>
      </c>
      <c r="O150" s="435">
        <v>1</v>
      </c>
      <c r="P150" s="435" t="s">
        <v>178</v>
      </c>
      <c r="Q150" s="434">
        <f>C150*((100-Discounts!$B$10)/100)</f>
        <v>14.600000000000001</v>
      </c>
      <c r="R150" t="str">
        <f>IF(ISNUMBER(Table3[[#This Row],[Thickness]]), "Zenith", "")</f>
        <v>Zenith</v>
      </c>
      <c r="S150">
        <v>4</v>
      </c>
      <c r="T150">
        <v>200</v>
      </c>
    </row>
    <row r="151" spans="1:20" x14ac:dyDescent="0.85">
      <c r="A151" s="429" t="s">
        <v>725</v>
      </c>
      <c r="B151" s="429" t="s">
        <v>761</v>
      </c>
      <c r="C151" s="430">
        <v>42.5</v>
      </c>
      <c r="D151" s="430"/>
      <c r="E151" s="430" t="s">
        <v>757</v>
      </c>
      <c r="F151" s="431">
        <v>4</v>
      </c>
      <c r="G151" s="431">
        <v>1200</v>
      </c>
      <c r="H151" s="431">
        <v>10000</v>
      </c>
      <c r="I151" s="431" t="s">
        <v>777</v>
      </c>
      <c r="J151" s="432" t="s">
        <v>1</v>
      </c>
      <c r="K151" s="432">
        <v>-30</v>
      </c>
      <c r="L151" s="432">
        <v>90</v>
      </c>
      <c r="M151" s="432" t="s">
        <v>577</v>
      </c>
      <c r="N151" s="432">
        <v>70</v>
      </c>
      <c r="O151" s="431">
        <v>2</v>
      </c>
      <c r="P151" s="431" t="s">
        <v>178</v>
      </c>
      <c r="Q151" s="430">
        <f>C151*((100-Discounts!$B$10)/100)</f>
        <v>17</v>
      </c>
      <c r="R151" t="str">
        <f>IF(ISNUMBER(Table3[[#This Row],[Thickness]]), "Zenith", "")</f>
        <v>Zenith</v>
      </c>
      <c r="S151">
        <v>4</v>
      </c>
      <c r="T151">
        <v>200</v>
      </c>
    </row>
    <row r="152" spans="1:20" x14ac:dyDescent="0.85">
      <c r="A152" s="433" t="s">
        <v>725</v>
      </c>
      <c r="B152" s="429" t="s">
        <v>761</v>
      </c>
      <c r="C152" s="434">
        <v>42.5</v>
      </c>
      <c r="D152" s="434"/>
      <c r="E152" s="430" t="s">
        <v>757</v>
      </c>
      <c r="F152" s="435">
        <v>4</v>
      </c>
      <c r="G152" s="435">
        <v>1400</v>
      </c>
      <c r="H152" s="435">
        <v>10000</v>
      </c>
      <c r="I152" s="431" t="s">
        <v>777</v>
      </c>
      <c r="J152" s="432" t="s">
        <v>1</v>
      </c>
      <c r="K152" s="432">
        <v>-30</v>
      </c>
      <c r="L152" s="432">
        <v>90</v>
      </c>
      <c r="M152" s="432" t="s">
        <v>577</v>
      </c>
      <c r="N152" s="432">
        <v>70</v>
      </c>
      <c r="O152" s="435">
        <v>2</v>
      </c>
      <c r="P152" s="435" t="s">
        <v>178</v>
      </c>
      <c r="Q152" s="434">
        <f>C152*((100-Discounts!$B$10)/100)</f>
        <v>17</v>
      </c>
      <c r="R152" t="str">
        <f>IF(ISNUMBER(Table3[[#This Row],[Thickness]]), "Zenith", "")</f>
        <v>Zenith</v>
      </c>
      <c r="S152">
        <v>4</v>
      </c>
      <c r="T152">
        <v>200</v>
      </c>
    </row>
    <row r="153" spans="1:20" x14ac:dyDescent="0.85">
      <c r="A153" s="429" t="s">
        <v>12</v>
      </c>
      <c r="B153" s="429" t="s">
        <v>761</v>
      </c>
      <c r="C153" s="430">
        <v>44</v>
      </c>
      <c r="D153" s="430"/>
      <c r="E153" s="430" t="s">
        <v>757</v>
      </c>
      <c r="F153" s="431">
        <v>5</v>
      </c>
      <c r="G153" s="431">
        <v>1200</v>
      </c>
      <c r="H153" s="431">
        <v>10000</v>
      </c>
      <c r="I153" s="431" t="s">
        <v>777</v>
      </c>
      <c r="J153" s="432" t="s">
        <v>1</v>
      </c>
      <c r="K153" s="432">
        <v>-30</v>
      </c>
      <c r="L153" s="432">
        <v>90</v>
      </c>
      <c r="M153" s="432" t="s">
        <v>577</v>
      </c>
      <c r="N153" s="432">
        <v>70</v>
      </c>
      <c r="O153" s="431">
        <v>1</v>
      </c>
      <c r="P153" s="431" t="s">
        <v>178</v>
      </c>
      <c r="Q153" s="430">
        <f>C153*((100-Discounts!$B$10)/100)</f>
        <v>17.600000000000001</v>
      </c>
      <c r="R153" t="str">
        <f>IF(ISNUMBER(Table3[[#This Row],[Thickness]]), "Zenith", "")</f>
        <v>Zenith</v>
      </c>
      <c r="S153">
        <v>4</v>
      </c>
      <c r="T153">
        <v>200</v>
      </c>
    </row>
    <row r="154" spans="1:20" x14ac:dyDescent="0.85">
      <c r="A154" s="433" t="s">
        <v>12</v>
      </c>
      <c r="B154" s="429" t="s">
        <v>761</v>
      </c>
      <c r="C154" s="434">
        <v>44</v>
      </c>
      <c r="D154" s="434"/>
      <c r="E154" s="430" t="s">
        <v>757</v>
      </c>
      <c r="F154" s="435">
        <v>5</v>
      </c>
      <c r="G154" s="435">
        <v>1400</v>
      </c>
      <c r="H154" s="435">
        <v>10000</v>
      </c>
      <c r="I154" s="431" t="s">
        <v>777</v>
      </c>
      <c r="J154" s="432" t="s">
        <v>1</v>
      </c>
      <c r="K154" s="432">
        <v>-30</v>
      </c>
      <c r="L154" s="432">
        <v>90</v>
      </c>
      <c r="M154" s="432" t="s">
        <v>577</v>
      </c>
      <c r="N154" s="432">
        <v>70</v>
      </c>
      <c r="O154" s="435">
        <v>1</v>
      </c>
      <c r="P154" s="435" t="s">
        <v>178</v>
      </c>
      <c r="Q154" s="434">
        <f>C154*((100-Discounts!$B$10)/100)</f>
        <v>17.600000000000001</v>
      </c>
      <c r="R154" t="str">
        <f>IF(ISNUMBER(Table3[[#This Row],[Thickness]]), "Zenith", "")</f>
        <v>Zenith</v>
      </c>
      <c r="S154">
        <v>4</v>
      </c>
      <c r="T154">
        <v>200</v>
      </c>
    </row>
    <row r="155" spans="1:20" x14ac:dyDescent="0.85">
      <c r="A155" s="429" t="s">
        <v>724</v>
      </c>
      <c r="B155" s="429" t="s">
        <v>761</v>
      </c>
      <c r="C155" s="430">
        <v>50</v>
      </c>
      <c r="D155" s="430"/>
      <c r="E155" s="430" t="s">
        <v>757</v>
      </c>
      <c r="F155" s="431">
        <v>5</v>
      </c>
      <c r="G155" s="431">
        <v>1400</v>
      </c>
      <c r="H155" s="431">
        <v>10000</v>
      </c>
      <c r="I155" s="431" t="s">
        <v>777</v>
      </c>
      <c r="J155" s="432" t="s">
        <v>1</v>
      </c>
      <c r="K155" s="432">
        <v>-30</v>
      </c>
      <c r="L155" s="432">
        <v>90</v>
      </c>
      <c r="M155" s="432" t="s">
        <v>577</v>
      </c>
      <c r="N155" s="432">
        <v>70</v>
      </c>
      <c r="O155" s="431">
        <v>2</v>
      </c>
      <c r="P155" s="431" t="s">
        <v>178</v>
      </c>
      <c r="Q155" s="430">
        <f>C155*((100-Discounts!$B$10)/100)</f>
        <v>20</v>
      </c>
      <c r="R155" t="str">
        <f>IF(ISNUMBER(Table3[[#This Row],[Thickness]]), "Zenith", "")</f>
        <v>Zenith</v>
      </c>
      <c r="S155">
        <v>4</v>
      </c>
      <c r="T155">
        <v>200</v>
      </c>
    </row>
    <row r="156" spans="1:20" x14ac:dyDescent="0.85">
      <c r="A156" s="433" t="s">
        <v>723</v>
      </c>
      <c r="B156" s="429" t="s">
        <v>761</v>
      </c>
      <c r="C156" s="434">
        <v>56.5</v>
      </c>
      <c r="D156" s="434"/>
      <c r="E156" s="430" t="s">
        <v>757</v>
      </c>
      <c r="F156" s="435">
        <v>6</v>
      </c>
      <c r="G156" s="435">
        <v>1400</v>
      </c>
      <c r="H156" s="435">
        <v>10000</v>
      </c>
      <c r="I156" s="431" t="s">
        <v>777</v>
      </c>
      <c r="J156" s="432" t="s">
        <v>1</v>
      </c>
      <c r="K156" s="432">
        <v>-30</v>
      </c>
      <c r="L156" s="432">
        <v>90</v>
      </c>
      <c r="M156" s="432" t="s">
        <v>577</v>
      </c>
      <c r="N156" s="432">
        <v>70</v>
      </c>
      <c r="O156" s="435">
        <v>2</v>
      </c>
      <c r="P156" s="435" t="s">
        <v>178</v>
      </c>
      <c r="Q156" s="434">
        <f>C156*((100-Discounts!$B$10)/100)</f>
        <v>22.6</v>
      </c>
      <c r="R156" t="str">
        <f>IF(ISNUMBER(Table3[[#This Row],[Thickness]]), "Zenith", "")</f>
        <v>Zenith</v>
      </c>
      <c r="S156">
        <v>4</v>
      </c>
      <c r="T156">
        <v>200</v>
      </c>
    </row>
    <row r="157" spans="1:20" x14ac:dyDescent="0.85">
      <c r="A157" s="429" t="s">
        <v>357</v>
      </c>
      <c r="B157" s="429" t="s">
        <v>761</v>
      </c>
      <c r="C157" s="430">
        <v>70.25</v>
      </c>
      <c r="D157" s="430"/>
      <c r="E157" s="430" t="s">
        <v>757</v>
      </c>
      <c r="F157" s="431">
        <v>8</v>
      </c>
      <c r="G157" s="431">
        <v>1400</v>
      </c>
      <c r="H157" s="431">
        <v>5000</v>
      </c>
      <c r="I157" s="431" t="s">
        <v>777</v>
      </c>
      <c r="J157" s="432" t="s">
        <v>1</v>
      </c>
      <c r="K157" s="432">
        <v>-30</v>
      </c>
      <c r="L157" s="432">
        <v>90</v>
      </c>
      <c r="M157" s="432" t="s">
        <v>577</v>
      </c>
      <c r="N157" s="432">
        <v>70</v>
      </c>
      <c r="O157" s="431">
        <v>2</v>
      </c>
      <c r="P157" s="431" t="s">
        <v>178</v>
      </c>
      <c r="Q157" s="430">
        <f>C157*((100-Discounts!$B$10)/100)</f>
        <v>28.1</v>
      </c>
      <c r="R157" t="str">
        <f>IF(ISNUMBER(Table3[[#This Row],[Thickness]]), "Zenith", "")</f>
        <v>Zenith</v>
      </c>
      <c r="S157">
        <v>4</v>
      </c>
      <c r="T157">
        <v>200</v>
      </c>
    </row>
    <row r="158" spans="1:20" x14ac:dyDescent="0.85">
      <c r="A158" s="433" t="s">
        <v>722</v>
      </c>
      <c r="B158" s="429" t="s">
        <v>761</v>
      </c>
      <c r="C158" s="434">
        <v>83.25</v>
      </c>
      <c r="D158" s="434"/>
      <c r="E158" s="430" t="s">
        <v>757</v>
      </c>
      <c r="F158" s="435">
        <v>10</v>
      </c>
      <c r="G158" s="435">
        <v>1200</v>
      </c>
      <c r="H158" s="435">
        <v>10000</v>
      </c>
      <c r="I158" s="431" t="s">
        <v>777</v>
      </c>
      <c r="J158" s="432" t="s">
        <v>1</v>
      </c>
      <c r="K158" s="432">
        <v>-30</v>
      </c>
      <c r="L158" s="432">
        <v>90</v>
      </c>
      <c r="M158" s="432" t="s">
        <v>577</v>
      </c>
      <c r="N158" s="432">
        <v>70</v>
      </c>
      <c r="O158" s="435">
        <v>2</v>
      </c>
      <c r="P158" s="435" t="s">
        <v>178</v>
      </c>
      <c r="Q158" s="434">
        <f>C158*((100-Discounts!$B$10)/100)</f>
        <v>33.300000000000004</v>
      </c>
      <c r="R158" t="str">
        <f>IF(ISNUMBER(Table3[[#This Row],[Thickness]]), "Zenith", "")</f>
        <v>Zenith</v>
      </c>
      <c r="S158">
        <v>4</v>
      </c>
      <c r="T158">
        <v>200</v>
      </c>
    </row>
    <row r="159" spans="1:20" x14ac:dyDescent="0.85">
      <c r="A159" s="429" t="s">
        <v>722</v>
      </c>
      <c r="B159" s="429" t="s">
        <v>761</v>
      </c>
      <c r="C159" s="430">
        <v>83.25</v>
      </c>
      <c r="D159" s="430"/>
      <c r="E159" s="430" t="s">
        <v>757</v>
      </c>
      <c r="F159" s="431">
        <v>10</v>
      </c>
      <c r="G159" s="431">
        <v>1400</v>
      </c>
      <c r="H159" s="431">
        <v>5000</v>
      </c>
      <c r="I159" s="431" t="s">
        <v>777</v>
      </c>
      <c r="J159" s="432" t="s">
        <v>1</v>
      </c>
      <c r="K159" s="432">
        <v>-30</v>
      </c>
      <c r="L159" s="432">
        <v>90</v>
      </c>
      <c r="M159" s="432" t="s">
        <v>577</v>
      </c>
      <c r="N159" s="432">
        <v>70</v>
      </c>
      <c r="O159" s="431">
        <v>2</v>
      </c>
      <c r="P159" s="431" t="s">
        <v>178</v>
      </c>
      <c r="Q159" s="430">
        <f>C159*((100-Discounts!$B$10)/100)</f>
        <v>33.300000000000004</v>
      </c>
      <c r="R159" t="str">
        <f>IF(ISNUMBER(Table3[[#This Row],[Thickness]]), "Zenith", "")</f>
        <v>Zenith</v>
      </c>
      <c r="S159">
        <v>4</v>
      </c>
      <c r="T159">
        <v>200</v>
      </c>
    </row>
    <row r="160" spans="1:20" x14ac:dyDescent="0.85">
      <c r="A160" s="433" t="s">
        <v>722</v>
      </c>
      <c r="B160" s="429" t="s">
        <v>761</v>
      </c>
      <c r="C160" s="434">
        <v>83.25</v>
      </c>
      <c r="D160" s="434"/>
      <c r="E160" s="430" t="s">
        <v>757</v>
      </c>
      <c r="F160" s="435">
        <v>10</v>
      </c>
      <c r="G160" s="435">
        <v>1400</v>
      </c>
      <c r="H160" s="435">
        <v>10000</v>
      </c>
      <c r="I160" s="431" t="s">
        <v>777</v>
      </c>
      <c r="J160" s="432" t="s">
        <v>1</v>
      </c>
      <c r="K160" s="432">
        <v>-30</v>
      </c>
      <c r="L160" s="432">
        <v>90</v>
      </c>
      <c r="M160" s="432" t="s">
        <v>577</v>
      </c>
      <c r="N160" s="432">
        <v>70</v>
      </c>
      <c r="O160" s="435">
        <v>2</v>
      </c>
      <c r="P160" s="435" t="s">
        <v>178</v>
      </c>
      <c r="Q160" s="434">
        <f>C160*((100-Discounts!$B$10)/100)</f>
        <v>33.300000000000004</v>
      </c>
      <c r="R160" t="str">
        <f>IF(ISNUMBER(Table3[[#This Row],[Thickness]]), "Zenith", "")</f>
        <v>Zenith</v>
      </c>
      <c r="S160">
        <v>4</v>
      </c>
      <c r="T160">
        <v>200</v>
      </c>
    </row>
    <row r="161" spans="1:20" ht="27" thickBot="1" x14ac:dyDescent="0.9">
      <c r="A161" s="357"/>
      <c r="B161" s="358"/>
      <c r="C161" s="359"/>
      <c r="D161" s="359"/>
      <c r="E161" s="359"/>
      <c r="F161" s="360" t="s">
        <v>359</v>
      </c>
      <c r="G161" s="360">
        <v>0</v>
      </c>
      <c r="H161" s="325">
        <v>0</v>
      </c>
      <c r="I161" s="217" t="s">
        <v>777</v>
      </c>
      <c r="M161" s="353"/>
      <c r="N161" s="349"/>
      <c r="O161" s="325"/>
      <c r="P161" s="325"/>
      <c r="Q161" s="361" t="s">
        <v>323</v>
      </c>
      <c r="R161" t="str">
        <f>IF(ISNUMBER(Table3[[#This Row],[Thickness]]), "Zenith", "")</f>
        <v/>
      </c>
    </row>
    <row r="162" spans="1:20" ht="54" thickTop="1" thickBot="1" x14ac:dyDescent="0.9">
      <c r="A162" s="102" t="s">
        <v>322</v>
      </c>
      <c r="B162" s="296"/>
      <c r="C162" s="242" t="s">
        <v>179</v>
      </c>
      <c r="D162" s="312"/>
      <c r="E162" s="312"/>
      <c r="F162" s="240" t="s">
        <v>320</v>
      </c>
      <c r="G162" s="240" t="e">
        <v>#VALUE!</v>
      </c>
      <c r="H162" s="241" t="e">
        <v>#VALUE!</v>
      </c>
      <c r="I162" s="217" t="s">
        <v>777</v>
      </c>
      <c r="M162" s="231"/>
      <c r="N162" s="233"/>
      <c r="O162" s="241" t="s">
        <v>171</v>
      </c>
      <c r="P162" s="241" t="s">
        <v>325</v>
      </c>
      <c r="Q162" s="242" t="s">
        <v>199</v>
      </c>
      <c r="R162" t="str">
        <f>IF(ISNUMBER(Table3[[#This Row],[Thickness]]), "Zenith", "")</f>
        <v/>
      </c>
    </row>
    <row r="163" spans="1:20" ht="27" thickTop="1" x14ac:dyDescent="0.85">
      <c r="A163" s="429" t="s">
        <v>360</v>
      </c>
      <c r="B163" s="429" t="s">
        <v>359</v>
      </c>
      <c r="C163" s="430">
        <v>75</v>
      </c>
      <c r="D163" s="430"/>
      <c r="E163" s="430" t="s">
        <v>757</v>
      </c>
      <c r="F163" s="431">
        <v>10</v>
      </c>
      <c r="G163" s="431">
        <v>1000</v>
      </c>
      <c r="H163" s="431">
        <v>1000</v>
      </c>
      <c r="I163" s="431" t="s">
        <v>777</v>
      </c>
      <c r="J163" s="432" t="s">
        <v>1</v>
      </c>
      <c r="K163" s="432">
        <v>-30</v>
      </c>
      <c r="L163" s="432">
        <v>90</v>
      </c>
      <c r="M163" s="432" t="s">
        <v>577</v>
      </c>
      <c r="N163" s="432">
        <v>70</v>
      </c>
      <c r="O163" s="431" t="s">
        <v>168</v>
      </c>
      <c r="P163" s="431" t="s">
        <v>168</v>
      </c>
      <c r="Q163" s="430">
        <f>C163*((100-Discounts!$B$10)/100)</f>
        <v>30</v>
      </c>
      <c r="R163" t="str">
        <f>IF(ISNUMBER(Table3[[#This Row],[Thickness]]), "Zenith", "")</f>
        <v>Zenith</v>
      </c>
      <c r="S163">
        <v>4</v>
      </c>
      <c r="T163">
        <v>200</v>
      </c>
    </row>
    <row r="164" spans="1:20" x14ac:dyDescent="0.85">
      <c r="A164" s="433" t="s">
        <v>361</v>
      </c>
      <c r="B164" s="429" t="s">
        <v>359</v>
      </c>
      <c r="C164" s="434">
        <v>110.25</v>
      </c>
      <c r="D164" s="434"/>
      <c r="E164" s="430" t="s">
        <v>757</v>
      </c>
      <c r="F164" s="435">
        <v>15</v>
      </c>
      <c r="G164" s="435">
        <v>1000</v>
      </c>
      <c r="H164" s="435">
        <v>1000</v>
      </c>
      <c r="I164" s="431" t="s">
        <v>777</v>
      </c>
      <c r="J164" s="432" t="s">
        <v>1</v>
      </c>
      <c r="K164" s="432">
        <v>-30</v>
      </c>
      <c r="L164" s="432">
        <v>90</v>
      </c>
      <c r="M164" s="432" t="s">
        <v>577</v>
      </c>
      <c r="N164" s="432">
        <v>70</v>
      </c>
      <c r="O164" s="435" t="s">
        <v>168</v>
      </c>
      <c r="P164" s="435" t="s">
        <v>168</v>
      </c>
      <c r="Q164" s="434">
        <f>C164*((100-Discounts!$B$10)/100)</f>
        <v>44.1</v>
      </c>
      <c r="R164" t="str">
        <f>IF(ISNUMBER(Table3[[#This Row],[Thickness]]), "Zenith", "")</f>
        <v>Zenith</v>
      </c>
      <c r="S164">
        <v>4</v>
      </c>
      <c r="T164">
        <v>200</v>
      </c>
    </row>
    <row r="165" spans="1:20" x14ac:dyDescent="0.85">
      <c r="A165" s="429" t="s">
        <v>362</v>
      </c>
      <c r="B165" s="429" t="s">
        <v>359</v>
      </c>
      <c r="C165" s="430">
        <v>144</v>
      </c>
      <c r="D165" s="430"/>
      <c r="E165" s="430" t="s">
        <v>757</v>
      </c>
      <c r="F165" s="431">
        <v>20</v>
      </c>
      <c r="G165" s="431">
        <v>1000</v>
      </c>
      <c r="H165" s="431">
        <v>1000</v>
      </c>
      <c r="I165" s="431" t="s">
        <v>777</v>
      </c>
      <c r="J165" s="432" t="s">
        <v>1</v>
      </c>
      <c r="K165" s="432">
        <v>-30</v>
      </c>
      <c r="L165" s="432">
        <v>90</v>
      </c>
      <c r="M165" s="432" t="s">
        <v>577</v>
      </c>
      <c r="N165" s="432">
        <v>70</v>
      </c>
      <c r="O165" s="431" t="s">
        <v>168</v>
      </c>
      <c r="P165" s="431" t="s">
        <v>168</v>
      </c>
      <c r="Q165" s="430">
        <f>C165*((100-Discounts!$B$10)/100)</f>
        <v>57.6</v>
      </c>
      <c r="R165" t="str">
        <f>IF(ISNUMBER(Table3[[#This Row],[Thickness]]), "Zenith", "")</f>
        <v>Zenith</v>
      </c>
      <c r="S165">
        <v>4</v>
      </c>
      <c r="T165">
        <v>200</v>
      </c>
    </row>
    <row r="166" spans="1:20" x14ac:dyDescent="0.85">
      <c r="A166" s="433" t="s">
        <v>18</v>
      </c>
      <c r="B166" s="429" t="s">
        <v>359</v>
      </c>
      <c r="C166" s="434">
        <v>137.25</v>
      </c>
      <c r="D166" s="434"/>
      <c r="E166" s="430" t="s">
        <v>757</v>
      </c>
      <c r="F166" s="435">
        <v>20</v>
      </c>
      <c r="G166" s="435">
        <v>1400</v>
      </c>
      <c r="H166" s="435">
        <v>2000</v>
      </c>
      <c r="I166" s="431" t="s">
        <v>777</v>
      </c>
      <c r="J166" s="432" t="s">
        <v>1</v>
      </c>
      <c r="K166" s="432">
        <v>-30</v>
      </c>
      <c r="L166" s="432">
        <v>90</v>
      </c>
      <c r="M166" s="432" t="s">
        <v>577</v>
      </c>
      <c r="N166" s="432">
        <v>70</v>
      </c>
      <c r="O166" s="435" t="s">
        <v>168</v>
      </c>
      <c r="P166" s="435" t="s">
        <v>168</v>
      </c>
      <c r="Q166" s="434">
        <f>C166*((100-Discounts!$B$10)/100)</f>
        <v>54.900000000000006</v>
      </c>
      <c r="R166" t="str">
        <f>IF(ISNUMBER(Table3[[#This Row],[Thickness]]), "Zenith", "")</f>
        <v>Zenith</v>
      </c>
      <c r="S166">
        <v>4</v>
      </c>
      <c r="T166">
        <v>200</v>
      </c>
    </row>
    <row r="167" spans="1:20" x14ac:dyDescent="0.85">
      <c r="A167" s="429" t="s">
        <v>363</v>
      </c>
      <c r="B167" s="429" t="s">
        <v>359</v>
      </c>
      <c r="C167" s="430">
        <v>205.875</v>
      </c>
      <c r="D167" s="430"/>
      <c r="E167" s="430" t="s">
        <v>757</v>
      </c>
      <c r="F167" s="431">
        <v>20</v>
      </c>
      <c r="G167" s="431">
        <v>1500</v>
      </c>
      <c r="H167" s="431">
        <v>1000</v>
      </c>
      <c r="I167" s="431" t="s">
        <v>777</v>
      </c>
      <c r="J167" s="432" t="s">
        <v>1</v>
      </c>
      <c r="K167" s="432">
        <v>-30</v>
      </c>
      <c r="L167" s="432">
        <v>90</v>
      </c>
      <c r="M167" s="432" t="s">
        <v>577</v>
      </c>
      <c r="N167" s="432">
        <v>70</v>
      </c>
      <c r="O167" s="431" t="s">
        <v>168</v>
      </c>
      <c r="P167" s="431" t="s">
        <v>168</v>
      </c>
      <c r="Q167" s="430">
        <f>C167*((100-Discounts!$B$10)/100)</f>
        <v>82.350000000000009</v>
      </c>
      <c r="R167" t="str">
        <f>IF(ISNUMBER(Table3[[#This Row],[Thickness]]), "Zenith", "")</f>
        <v>Zenith</v>
      </c>
      <c r="S167">
        <v>4</v>
      </c>
      <c r="T167">
        <v>200</v>
      </c>
    </row>
    <row r="168" spans="1:20" x14ac:dyDescent="0.85">
      <c r="A168" s="433" t="s">
        <v>364</v>
      </c>
      <c r="B168" s="429" t="s">
        <v>359</v>
      </c>
      <c r="C168" s="434">
        <v>182</v>
      </c>
      <c r="D168" s="434"/>
      <c r="E168" s="430" t="s">
        <v>757</v>
      </c>
      <c r="F168" s="435">
        <v>25</v>
      </c>
      <c r="G168" s="435">
        <v>1000</v>
      </c>
      <c r="H168" s="435">
        <v>1000</v>
      </c>
      <c r="I168" s="431" t="s">
        <v>777</v>
      </c>
      <c r="J168" s="432" t="s">
        <v>1</v>
      </c>
      <c r="K168" s="432">
        <v>-30</v>
      </c>
      <c r="L168" s="432">
        <v>90</v>
      </c>
      <c r="M168" s="432" t="s">
        <v>577</v>
      </c>
      <c r="N168" s="432">
        <v>70</v>
      </c>
      <c r="O168" s="435" t="s">
        <v>168</v>
      </c>
      <c r="P168" s="435" t="s">
        <v>168</v>
      </c>
      <c r="Q168" s="434">
        <f>C168*((100-Discounts!$B$10)/100)</f>
        <v>72.8</v>
      </c>
      <c r="R168" t="str">
        <f>IF(ISNUMBER(Table3[[#This Row],[Thickness]]), "Zenith", "")</f>
        <v>Zenith</v>
      </c>
      <c r="S168">
        <v>4</v>
      </c>
      <c r="T168">
        <v>200</v>
      </c>
    </row>
    <row r="169" spans="1:20" x14ac:dyDescent="0.85">
      <c r="A169" s="429" t="s">
        <v>365</v>
      </c>
      <c r="B169" s="429" t="s">
        <v>359</v>
      </c>
      <c r="C169" s="430">
        <v>273</v>
      </c>
      <c r="D169" s="430"/>
      <c r="E169" s="430" t="s">
        <v>757</v>
      </c>
      <c r="F169" s="431">
        <v>25</v>
      </c>
      <c r="G169" s="431">
        <v>1500</v>
      </c>
      <c r="H169" s="431">
        <v>1000</v>
      </c>
      <c r="I169" s="431" t="s">
        <v>777</v>
      </c>
      <c r="J169" s="432" t="s">
        <v>1</v>
      </c>
      <c r="K169" s="432">
        <v>-30</v>
      </c>
      <c r="L169" s="432">
        <v>90</v>
      </c>
      <c r="M169" s="432" t="s">
        <v>577</v>
      </c>
      <c r="N169" s="432">
        <v>70</v>
      </c>
      <c r="O169" s="431" t="s">
        <v>168</v>
      </c>
      <c r="P169" s="431" t="s">
        <v>168</v>
      </c>
      <c r="Q169" s="430">
        <f>C169*((100-Discounts!$B$10)/100)</f>
        <v>109.2</v>
      </c>
      <c r="R169" t="str">
        <f>IF(ISNUMBER(Table3[[#This Row],[Thickness]]), "Zenith", "")</f>
        <v>Zenith</v>
      </c>
      <c r="S169">
        <v>4</v>
      </c>
      <c r="T169">
        <v>200</v>
      </c>
    </row>
    <row r="170" spans="1:20" x14ac:dyDescent="0.85">
      <c r="A170" s="433" t="s">
        <v>190</v>
      </c>
      <c r="B170" s="429" t="s">
        <v>359</v>
      </c>
      <c r="C170" s="434">
        <v>212.25</v>
      </c>
      <c r="D170" s="434"/>
      <c r="E170" s="430" t="s">
        <v>757</v>
      </c>
      <c r="F170" s="435">
        <v>30</v>
      </c>
      <c r="G170" s="435">
        <v>1400</v>
      </c>
      <c r="H170" s="435">
        <v>2000</v>
      </c>
      <c r="I170" s="431" t="s">
        <v>777</v>
      </c>
      <c r="J170" s="432" t="s">
        <v>1</v>
      </c>
      <c r="K170" s="432">
        <v>-30</v>
      </c>
      <c r="L170" s="432">
        <v>90</v>
      </c>
      <c r="M170" s="432" t="s">
        <v>577</v>
      </c>
      <c r="N170" s="432">
        <v>70</v>
      </c>
      <c r="O170" s="435" t="s">
        <v>168</v>
      </c>
      <c r="P170" s="435" t="s">
        <v>168</v>
      </c>
      <c r="Q170" s="434">
        <f>C170*((100-Discounts!$B$10)/100)</f>
        <v>84.9</v>
      </c>
      <c r="R170" t="str">
        <f>IF(ISNUMBER(Table3[[#This Row],[Thickness]]), "Zenith", "")</f>
        <v>Zenith</v>
      </c>
      <c r="S170">
        <v>4</v>
      </c>
      <c r="T170">
        <v>200</v>
      </c>
    </row>
    <row r="171" spans="1:20" x14ac:dyDescent="0.85">
      <c r="A171" s="429" t="s">
        <v>366</v>
      </c>
      <c r="B171" s="429" t="s">
        <v>359</v>
      </c>
      <c r="C171" s="430">
        <v>318.5</v>
      </c>
      <c r="D171" s="430"/>
      <c r="E171" s="430" t="s">
        <v>757</v>
      </c>
      <c r="F171" s="431">
        <v>30</v>
      </c>
      <c r="G171" s="431">
        <v>1500</v>
      </c>
      <c r="H171" s="431">
        <v>1000</v>
      </c>
      <c r="I171" s="431" t="s">
        <v>777</v>
      </c>
      <c r="J171" s="432" t="s">
        <v>1</v>
      </c>
      <c r="K171" s="432">
        <v>-30</v>
      </c>
      <c r="L171" s="432">
        <v>90</v>
      </c>
      <c r="M171" s="432" t="s">
        <v>577</v>
      </c>
      <c r="N171" s="432">
        <v>70</v>
      </c>
      <c r="O171" s="431" t="s">
        <v>168</v>
      </c>
      <c r="P171" s="431" t="s">
        <v>168</v>
      </c>
      <c r="Q171" s="430">
        <f>C171*((100-Discounts!$B$10)/100)</f>
        <v>127.4</v>
      </c>
      <c r="R171" t="str">
        <f>IF(ISNUMBER(Table3[[#This Row],[Thickness]]), "Zenith", "")</f>
        <v>Zenith</v>
      </c>
      <c r="S171">
        <v>4</v>
      </c>
      <c r="T171">
        <v>200</v>
      </c>
    </row>
    <row r="172" spans="1:20" x14ac:dyDescent="0.85">
      <c r="A172" s="433" t="s">
        <v>191</v>
      </c>
      <c r="B172" s="429" t="s">
        <v>359</v>
      </c>
      <c r="C172" s="434">
        <v>282.75</v>
      </c>
      <c r="D172" s="434"/>
      <c r="E172" s="430" t="s">
        <v>757</v>
      </c>
      <c r="F172" s="435">
        <v>40</v>
      </c>
      <c r="G172" s="435">
        <v>1400</v>
      </c>
      <c r="H172" s="435">
        <v>2000</v>
      </c>
      <c r="I172" s="431" t="s">
        <v>777</v>
      </c>
      <c r="J172" s="432" t="s">
        <v>1</v>
      </c>
      <c r="K172" s="432">
        <v>-30</v>
      </c>
      <c r="L172" s="432">
        <v>90</v>
      </c>
      <c r="M172" s="432" t="s">
        <v>577</v>
      </c>
      <c r="N172" s="432">
        <v>70</v>
      </c>
      <c r="O172" s="435" t="s">
        <v>168</v>
      </c>
      <c r="P172" s="435" t="s">
        <v>168</v>
      </c>
      <c r="Q172" s="434">
        <f>C172*((100-Discounts!$B$10)/100)</f>
        <v>113.10000000000001</v>
      </c>
      <c r="R172" t="str">
        <f>IF(ISNUMBER(Table3[[#This Row],[Thickness]]), "Zenith", "")</f>
        <v>Zenith</v>
      </c>
      <c r="S172">
        <v>4</v>
      </c>
      <c r="T172">
        <v>200</v>
      </c>
    </row>
    <row r="173" spans="1:20" x14ac:dyDescent="0.85">
      <c r="A173" s="429" t="s">
        <v>192</v>
      </c>
      <c r="B173" s="429" t="s">
        <v>359</v>
      </c>
      <c r="C173" s="430">
        <v>354</v>
      </c>
      <c r="D173" s="430"/>
      <c r="E173" s="430" t="s">
        <v>757</v>
      </c>
      <c r="F173" s="431">
        <v>50</v>
      </c>
      <c r="G173" s="431">
        <v>1400</v>
      </c>
      <c r="H173" s="431">
        <v>2000</v>
      </c>
      <c r="I173" s="431" t="s">
        <v>777</v>
      </c>
      <c r="J173" s="432" t="s">
        <v>1</v>
      </c>
      <c r="K173" s="432">
        <v>-30</v>
      </c>
      <c r="L173" s="432">
        <v>90</v>
      </c>
      <c r="M173" s="432" t="s">
        <v>577</v>
      </c>
      <c r="N173" s="432">
        <v>70</v>
      </c>
      <c r="O173" s="431" t="s">
        <v>168</v>
      </c>
      <c r="P173" s="431" t="s">
        <v>168</v>
      </c>
      <c r="Q173" s="430">
        <f>C173*((100-Discounts!$B$10)/100)</f>
        <v>141.6</v>
      </c>
      <c r="R173" t="str">
        <f>IF(ISNUMBER(Table3[[#This Row],[Thickness]]), "Zenith", "")</f>
        <v>Zenith</v>
      </c>
      <c r="S173">
        <v>4</v>
      </c>
      <c r="T173">
        <v>200</v>
      </c>
    </row>
    <row r="174" spans="1:20" ht="27" thickBot="1" x14ac:dyDescent="0.9">
      <c r="A174" s="357"/>
      <c r="B174" s="358"/>
      <c r="C174" s="359"/>
      <c r="D174" s="359"/>
      <c r="E174" s="359"/>
      <c r="F174" s="360" t="s">
        <v>207</v>
      </c>
      <c r="G174" s="360">
        <v>0</v>
      </c>
      <c r="H174" s="325">
        <v>0</v>
      </c>
      <c r="I174" s="217" t="s">
        <v>777</v>
      </c>
      <c r="M174" s="342"/>
      <c r="N174" s="343"/>
      <c r="O174" s="325"/>
      <c r="P174" s="325"/>
      <c r="Q174" s="361" t="s">
        <v>323</v>
      </c>
      <c r="R174" t="str">
        <f>IF(ISNUMBER(Table3[[#This Row],[Thickness]]), "Zenith", "")</f>
        <v/>
      </c>
    </row>
    <row r="175" spans="1:20" ht="54" thickTop="1" thickBot="1" x14ac:dyDescent="0.9">
      <c r="A175" s="102" t="s">
        <v>322</v>
      </c>
      <c r="B175" s="296"/>
      <c r="C175" s="242" t="s">
        <v>179</v>
      </c>
      <c r="D175" s="312"/>
      <c r="E175" s="312"/>
      <c r="F175" s="240" t="s">
        <v>320</v>
      </c>
      <c r="G175" s="240" t="e">
        <v>#VALUE!</v>
      </c>
      <c r="H175" s="241" t="e">
        <v>#VALUE!</v>
      </c>
      <c r="I175" s="217" t="s">
        <v>777</v>
      </c>
      <c r="M175" s="234"/>
      <c r="N175" s="230"/>
      <c r="O175" s="241" t="s">
        <v>171</v>
      </c>
      <c r="P175" s="241" t="s">
        <v>325</v>
      </c>
      <c r="Q175" s="242" t="s">
        <v>199</v>
      </c>
      <c r="R175" t="str">
        <f>IF(ISNUMBER(Table3[[#This Row],[Thickness]]), "Zenith", "")</f>
        <v/>
      </c>
    </row>
    <row r="176" spans="1:20" ht="27" thickTop="1" x14ac:dyDescent="0.85">
      <c r="A176" s="429" t="s">
        <v>117</v>
      </c>
      <c r="B176" s="429" t="s">
        <v>207</v>
      </c>
      <c r="C176" s="430">
        <v>13.5</v>
      </c>
      <c r="D176" s="430"/>
      <c r="E176" s="430" t="s">
        <v>757</v>
      </c>
      <c r="F176" s="431">
        <v>1</v>
      </c>
      <c r="G176" s="431">
        <v>1200</v>
      </c>
      <c r="H176" s="431">
        <v>20000</v>
      </c>
      <c r="I176" s="431" t="s">
        <v>777</v>
      </c>
      <c r="J176" s="432" t="s">
        <v>1</v>
      </c>
      <c r="K176" s="432">
        <v>-30</v>
      </c>
      <c r="L176" s="432">
        <v>90</v>
      </c>
      <c r="M176" s="432" t="s">
        <v>577</v>
      </c>
      <c r="N176" s="432">
        <v>70</v>
      </c>
      <c r="O176" s="431">
        <v>0</v>
      </c>
      <c r="P176" s="431" t="s">
        <v>168</v>
      </c>
      <c r="Q176" s="430">
        <f>C176*((100-Discounts!$B$11)/100)</f>
        <v>5.4</v>
      </c>
      <c r="R176" t="str">
        <f>IF(ISNUMBER(Table3[[#This Row],[Thickness]]), "Zenith", "")</f>
        <v>Zenith</v>
      </c>
      <c r="S176">
        <v>5</v>
      </c>
      <c r="T176">
        <v>250</v>
      </c>
    </row>
    <row r="177" spans="1:20" x14ac:dyDescent="0.85">
      <c r="A177" s="433" t="s">
        <v>117</v>
      </c>
      <c r="B177" s="429" t="s">
        <v>207</v>
      </c>
      <c r="C177" s="434">
        <v>13.5</v>
      </c>
      <c r="D177" s="434"/>
      <c r="E177" s="430" t="s">
        <v>757</v>
      </c>
      <c r="F177" s="435">
        <v>1</v>
      </c>
      <c r="G177" s="435">
        <v>1400</v>
      </c>
      <c r="H177" s="435">
        <v>20000</v>
      </c>
      <c r="I177" s="431" t="s">
        <v>777</v>
      </c>
      <c r="J177" s="432" t="s">
        <v>1</v>
      </c>
      <c r="K177" s="432">
        <v>-30</v>
      </c>
      <c r="L177" s="432">
        <v>90</v>
      </c>
      <c r="M177" s="432" t="s">
        <v>577</v>
      </c>
      <c r="N177" s="432">
        <v>70</v>
      </c>
      <c r="O177" s="435">
        <v>0</v>
      </c>
      <c r="P177" s="435" t="s">
        <v>168</v>
      </c>
      <c r="Q177" s="434">
        <f>C177*((100-Discounts!$B$11)/100)</f>
        <v>5.4</v>
      </c>
      <c r="R177" t="str">
        <f>IF(ISNUMBER(Table3[[#This Row],[Thickness]]), "Zenith", "")</f>
        <v>Zenith</v>
      </c>
      <c r="S177">
        <v>5</v>
      </c>
      <c r="T177">
        <v>250</v>
      </c>
    </row>
    <row r="178" spans="1:20" x14ac:dyDescent="0.85">
      <c r="A178" s="429" t="s">
        <v>118</v>
      </c>
      <c r="B178" s="429" t="s">
        <v>207</v>
      </c>
      <c r="C178" s="430">
        <v>18.75</v>
      </c>
      <c r="D178" s="430"/>
      <c r="E178" s="430" t="s">
        <v>757</v>
      </c>
      <c r="F178" s="431">
        <v>1.5</v>
      </c>
      <c r="G178" s="431">
        <v>1400</v>
      </c>
      <c r="H178" s="431">
        <v>15000</v>
      </c>
      <c r="I178" s="431" t="s">
        <v>777</v>
      </c>
      <c r="J178" s="432" t="s">
        <v>1</v>
      </c>
      <c r="K178" s="432">
        <v>-30</v>
      </c>
      <c r="L178" s="432">
        <v>90</v>
      </c>
      <c r="M178" s="432" t="s">
        <v>577</v>
      </c>
      <c r="N178" s="432">
        <v>70</v>
      </c>
      <c r="O178" s="431">
        <v>0</v>
      </c>
      <c r="P178" s="431" t="s">
        <v>168</v>
      </c>
      <c r="Q178" s="430">
        <f>C178*((100-Discounts!$B$11)/100)</f>
        <v>7.5</v>
      </c>
      <c r="R178" t="str">
        <f>IF(ISNUMBER(Table3[[#This Row],[Thickness]]), "Zenith", "")</f>
        <v>Zenith</v>
      </c>
      <c r="S178">
        <v>5</v>
      </c>
      <c r="T178">
        <v>250</v>
      </c>
    </row>
    <row r="179" spans="1:20" x14ac:dyDescent="0.85">
      <c r="A179" s="433" t="s">
        <v>119</v>
      </c>
      <c r="B179" s="429" t="s">
        <v>207</v>
      </c>
      <c r="C179" s="434">
        <v>23.25</v>
      </c>
      <c r="D179" s="434"/>
      <c r="E179" s="430" t="s">
        <v>757</v>
      </c>
      <c r="F179" s="435">
        <v>2</v>
      </c>
      <c r="G179" s="435">
        <v>1200</v>
      </c>
      <c r="H179" s="435">
        <v>10000</v>
      </c>
      <c r="I179" s="431" t="s">
        <v>777</v>
      </c>
      <c r="J179" s="432" t="s">
        <v>1</v>
      </c>
      <c r="K179" s="432">
        <v>-30</v>
      </c>
      <c r="L179" s="432">
        <v>90</v>
      </c>
      <c r="M179" s="432" t="s">
        <v>577</v>
      </c>
      <c r="N179" s="432">
        <v>70</v>
      </c>
      <c r="O179" s="435">
        <v>0</v>
      </c>
      <c r="P179" s="435" t="s">
        <v>168</v>
      </c>
      <c r="Q179" s="434">
        <f>C179*((100-Discounts!$B$11)/100)</f>
        <v>9.3000000000000007</v>
      </c>
      <c r="R179" t="str">
        <f>IF(ISNUMBER(Table3[[#This Row],[Thickness]]), "Zenith", "")</f>
        <v>Zenith</v>
      </c>
      <c r="S179">
        <v>5</v>
      </c>
      <c r="T179">
        <v>250</v>
      </c>
    </row>
    <row r="180" spans="1:20" x14ac:dyDescent="0.85">
      <c r="A180" s="429" t="s">
        <v>119</v>
      </c>
      <c r="B180" s="429" t="s">
        <v>207</v>
      </c>
      <c r="C180" s="430">
        <v>23.25</v>
      </c>
      <c r="D180" s="430"/>
      <c r="E180" s="430" t="s">
        <v>757</v>
      </c>
      <c r="F180" s="431">
        <v>2</v>
      </c>
      <c r="G180" s="431">
        <v>1400</v>
      </c>
      <c r="H180" s="431">
        <v>10000</v>
      </c>
      <c r="I180" s="431" t="s">
        <v>777</v>
      </c>
      <c r="J180" s="432" t="s">
        <v>1</v>
      </c>
      <c r="K180" s="432">
        <v>-30</v>
      </c>
      <c r="L180" s="432">
        <v>90</v>
      </c>
      <c r="M180" s="432" t="s">
        <v>577</v>
      </c>
      <c r="N180" s="432">
        <v>70</v>
      </c>
      <c r="O180" s="431">
        <v>0</v>
      </c>
      <c r="P180" s="431" t="s">
        <v>168</v>
      </c>
      <c r="Q180" s="430">
        <f>C180*((100-Discounts!$B$11)/100)</f>
        <v>9.3000000000000007</v>
      </c>
      <c r="R180" t="str">
        <f>IF(ISNUMBER(Table3[[#This Row],[Thickness]]), "Zenith", "")</f>
        <v>Zenith</v>
      </c>
      <c r="S180">
        <v>5</v>
      </c>
      <c r="T180">
        <v>250</v>
      </c>
    </row>
    <row r="181" spans="1:20" x14ac:dyDescent="0.85">
      <c r="A181" s="433" t="s">
        <v>120</v>
      </c>
      <c r="B181" s="429" t="s">
        <v>207</v>
      </c>
      <c r="C181" s="434">
        <v>29.25</v>
      </c>
      <c r="D181" s="434"/>
      <c r="E181" s="430" t="s">
        <v>757</v>
      </c>
      <c r="F181" s="435">
        <v>2</v>
      </c>
      <c r="G181" s="435">
        <v>1400</v>
      </c>
      <c r="H181" s="435">
        <v>10000</v>
      </c>
      <c r="I181" s="431" t="s">
        <v>777</v>
      </c>
      <c r="J181" s="432" t="s">
        <v>1</v>
      </c>
      <c r="K181" s="432">
        <v>-30</v>
      </c>
      <c r="L181" s="432">
        <v>90</v>
      </c>
      <c r="M181" s="432" t="s">
        <v>577</v>
      </c>
      <c r="N181" s="432">
        <v>70</v>
      </c>
      <c r="O181" s="435">
        <v>1</v>
      </c>
      <c r="P181" s="435" t="s">
        <v>178</v>
      </c>
      <c r="Q181" s="434">
        <f>C181*((100-Discounts!$B$11)/100)</f>
        <v>11.700000000000001</v>
      </c>
      <c r="R181" t="str">
        <f>IF(ISNUMBER(Table3[[#This Row],[Thickness]]), "Zenith", "")</f>
        <v>Zenith</v>
      </c>
      <c r="S181">
        <v>5</v>
      </c>
      <c r="T181">
        <v>250</v>
      </c>
    </row>
    <row r="182" spans="1:20" x14ac:dyDescent="0.85">
      <c r="A182" s="429" t="s">
        <v>121</v>
      </c>
      <c r="B182" s="429" t="s">
        <v>207</v>
      </c>
      <c r="C182" s="430">
        <v>32.75</v>
      </c>
      <c r="D182" s="430"/>
      <c r="E182" s="430" t="s">
        <v>757</v>
      </c>
      <c r="F182" s="431">
        <v>3</v>
      </c>
      <c r="G182" s="431">
        <v>1200</v>
      </c>
      <c r="H182" s="431">
        <v>10000</v>
      </c>
      <c r="I182" s="431" t="s">
        <v>777</v>
      </c>
      <c r="J182" s="432" t="s">
        <v>1</v>
      </c>
      <c r="K182" s="432">
        <v>-30</v>
      </c>
      <c r="L182" s="432">
        <v>90</v>
      </c>
      <c r="M182" s="432" t="s">
        <v>577</v>
      </c>
      <c r="N182" s="432">
        <v>70</v>
      </c>
      <c r="O182" s="431">
        <v>0</v>
      </c>
      <c r="P182" s="431" t="s">
        <v>168</v>
      </c>
      <c r="Q182" s="430">
        <f>C182*((100-Discounts!$B$11)/100)</f>
        <v>13.100000000000001</v>
      </c>
      <c r="R182" t="str">
        <f>IF(ISNUMBER(Table3[[#This Row],[Thickness]]), "Zenith", "")</f>
        <v>Zenith</v>
      </c>
      <c r="S182">
        <v>5</v>
      </c>
      <c r="T182">
        <v>250</v>
      </c>
    </row>
    <row r="183" spans="1:20" x14ac:dyDescent="0.85">
      <c r="A183" s="433" t="s">
        <v>121</v>
      </c>
      <c r="B183" s="429" t="s">
        <v>207</v>
      </c>
      <c r="C183" s="434">
        <v>32.75</v>
      </c>
      <c r="D183" s="434"/>
      <c r="E183" s="430" t="s">
        <v>757</v>
      </c>
      <c r="F183" s="435">
        <v>3</v>
      </c>
      <c r="G183" s="435">
        <v>1400</v>
      </c>
      <c r="H183" s="435">
        <v>10000</v>
      </c>
      <c r="I183" s="431" t="s">
        <v>777</v>
      </c>
      <c r="J183" s="432" t="s">
        <v>1</v>
      </c>
      <c r="K183" s="432">
        <v>-30</v>
      </c>
      <c r="L183" s="432">
        <v>90</v>
      </c>
      <c r="M183" s="432" t="s">
        <v>577</v>
      </c>
      <c r="N183" s="432">
        <v>70</v>
      </c>
      <c r="O183" s="435">
        <v>0</v>
      </c>
      <c r="P183" s="435" t="s">
        <v>168</v>
      </c>
      <c r="Q183" s="434">
        <f>C183*((100-Discounts!$B$11)/100)</f>
        <v>13.100000000000001</v>
      </c>
      <c r="R183" t="str">
        <f>IF(ISNUMBER(Table3[[#This Row],[Thickness]]), "Zenith", "")</f>
        <v>Zenith</v>
      </c>
      <c r="S183">
        <v>5</v>
      </c>
      <c r="T183">
        <v>250</v>
      </c>
    </row>
    <row r="184" spans="1:20" x14ac:dyDescent="0.85">
      <c r="A184" s="429" t="s">
        <v>122</v>
      </c>
      <c r="B184" s="429" t="s">
        <v>207</v>
      </c>
      <c r="C184" s="430">
        <v>38.75</v>
      </c>
      <c r="D184" s="430"/>
      <c r="E184" s="430" t="s">
        <v>757</v>
      </c>
      <c r="F184" s="431">
        <v>3</v>
      </c>
      <c r="G184" s="431">
        <v>1400</v>
      </c>
      <c r="H184" s="431">
        <v>10000</v>
      </c>
      <c r="I184" s="431" t="s">
        <v>777</v>
      </c>
      <c r="J184" s="432" t="s">
        <v>1</v>
      </c>
      <c r="K184" s="432">
        <v>-30</v>
      </c>
      <c r="L184" s="432">
        <v>90</v>
      </c>
      <c r="M184" s="432" t="s">
        <v>577</v>
      </c>
      <c r="N184" s="432">
        <v>70</v>
      </c>
      <c r="O184" s="431">
        <v>1</v>
      </c>
      <c r="P184" s="431" t="s">
        <v>178</v>
      </c>
      <c r="Q184" s="430">
        <f>C184*((100-Discounts!$B$11)/100)</f>
        <v>15.5</v>
      </c>
      <c r="R184" t="str">
        <f>IF(ISNUMBER(Table3[[#This Row],[Thickness]]), "Zenith", "")</f>
        <v>Zenith</v>
      </c>
      <c r="S184">
        <v>5</v>
      </c>
      <c r="T184">
        <v>250</v>
      </c>
    </row>
    <row r="185" spans="1:20" x14ac:dyDescent="0.85">
      <c r="A185" s="433" t="s">
        <v>123</v>
      </c>
      <c r="B185" s="429" t="s">
        <v>207</v>
      </c>
      <c r="C185" s="434">
        <v>44.75</v>
      </c>
      <c r="D185" s="434"/>
      <c r="E185" s="430" t="s">
        <v>757</v>
      </c>
      <c r="F185" s="435">
        <v>3</v>
      </c>
      <c r="G185" s="435">
        <v>1400</v>
      </c>
      <c r="H185" s="435">
        <v>10000</v>
      </c>
      <c r="I185" s="431" t="s">
        <v>777</v>
      </c>
      <c r="J185" s="432" t="s">
        <v>1</v>
      </c>
      <c r="K185" s="432">
        <v>-30</v>
      </c>
      <c r="L185" s="432">
        <v>90</v>
      </c>
      <c r="M185" s="432" t="s">
        <v>577</v>
      </c>
      <c r="N185" s="432">
        <v>70</v>
      </c>
      <c r="O185" s="435">
        <v>2</v>
      </c>
      <c r="P185" s="435" t="s">
        <v>178</v>
      </c>
      <c r="Q185" s="434">
        <f>C185*((100-Discounts!$B$11)/100)</f>
        <v>17.900000000000002</v>
      </c>
      <c r="R185" t="str">
        <f>IF(ISNUMBER(Table3[[#This Row],[Thickness]]), "Zenith", "")</f>
        <v>Zenith</v>
      </c>
      <c r="S185">
        <v>5</v>
      </c>
      <c r="T185">
        <v>250</v>
      </c>
    </row>
    <row r="186" spans="1:20" x14ac:dyDescent="0.85">
      <c r="A186" s="429" t="s">
        <v>124</v>
      </c>
      <c r="B186" s="429" t="s">
        <v>207</v>
      </c>
      <c r="C186" s="430">
        <v>43.75</v>
      </c>
      <c r="D186" s="430"/>
      <c r="E186" s="430" t="s">
        <v>757</v>
      </c>
      <c r="F186" s="431">
        <v>4</v>
      </c>
      <c r="G186" s="431">
        <v>1200</v>
      </c>
      <c r="H186" s="431">
        <v>10000</v>
      </c>
      <c r="I186" s="431" t="s">
        <v>777</v>
      </c>
      <c r="J186" s="432" t="s">
        <v>1</v>
      </c>
      <c r="K186" s="432">
        <v>-30</v>
      </c>
      <c r="L186" s="432">
        <v>90</v>
      </c>
      <c r="M186" s="432" t="s">
        <v>577</v>
      </c>
      <c r="N186" s="432">
        <v>70</v>
      </c>
      <c r="O186" s="431">
        <v>0</v>
      </c>
      <c r="P186" s="431" t="s">
        <v>168</v>
      </c>
      <c r="Q186" s="430">
        <f>C186*((100-Discounts!$B$11)/100)</f>
        <v>17.5</v>
      </c>
      <c r="R186" t="str">
        <f>IF(ISNUMBER(Table3[[#This Row],[Thickness]]), "Zenith", "")</f>
        <v>Zenith</v>
      </c>
      <c r="S186">
        <v>5</v>
      </c>
      <c r="T186">
        <v>250</v>
      </c>
    </row>
    <row r="187" spans="1:20" x14ac:dyDescent="0.85">
      <c r="A187" s="433" t="s">
        <v>124</v>
      </c>
      <c r="B187" s="429" t="s">
        <v>207</v>
      </c>
      <c r="C187" s="434">
        <v>43.75</v>
      </c>
      <c r="D187" s="434"/>
      <c r="E187" s="430" t="s">
        <v>757</v>
      </c>
      <c r="F187" s="435">
        <v>4</v>
      </c>
      <c r="G187" s="435">
        <v>1400</v>
      </c>
      <c r="H187" s="435">
        <v>10000</v>
      </c>
      <c r="I187" s="431" t="s">
        <v>777</v>
      </c>
      <c r="J187" s="432" t="s">
        <v>1</v>
      </c>
      <c r="K187" s="432">
        <v>-30</v>
      </c>
      <c r="L187" s="432">
        <v>90</v>
      </c>
      <c r="M187" s="432" t="s">
        <v>577</v>
      </c>
      <c r="N187" s="432">
        <v>70</v>
      </c>
      <c r="O187" s="435">
        <v>0</v>
      </c>
      <c r="P187" s="435" t="s">
        <v>168</v>
      </c>
      <c r="Q187" s="434">
        <f>C187*((100-Discounts!$B$11)/100)</f>
        <v>17.5</v>
      </c>
      <c r="R187" t="str">
        <f>IF(ISNUMBER(Table3[[#This Row],[Thickness]]), "Zenith", "")</f>
        <v>Zenith</v>
      </c>
      <c r="S187">
        <v>5</v>
      </c>
      <c r="T187">
        <v>250</v>
      </c>
    </row>
    <row r="188" spans="1:20" x14ac:dyDescent="0.85">
      <c r="A188" s="429" t="s">
        <v>125</v>
      </c>
      <c r="B188" s="429" t="s">
        <v>207</v>
      </c>
      <c r="C188" s="430">
        <v>55.75</v>
      </c>
      <c r="D188" s="430"/>
      <c r="E188" s="430" t="s">
        <v>757</v>
      </c>
      <c r="F188" s="431">
        <v>4</v>
      </c>
      <c r="G188" s="431">
        <v>1400</v>
      </c>
      <c r="H188" s="431">
        <v>10000</v>
      </c>
      <c r="I188" s="431" t="s">
        <v>777</v>
      </c>
      <c r="J188" s="432" t="s">
        <v>1</v>
      </c>
      <c r="K188" s="432">
        <v>-30</v>
      </c>
      <c r="L188" s="432">
        <v>90</v>
      </c>
      <c r="M188" s="432" t="s">
        <v>577</v>
      </c>
      <c r="N188" s="432">
        <v>70</v>
      </c>
      <c r="O188" s="431">
        <v>2</v>
      </c>
      <c r="P188" s="431" t="s">
        <v>178</v>
      </c>
      <c r="Q188" s="430">
        <f>C188*((100-Discounts!$B$11)/100)</f>
        <v>22.3</v>
      </c>
      <c r="R188" t="str">
        <f>IF(ISNUMBER(Table3[[#This Row],[Thickness]]), "Zenith", "")</f>
        <v>Zenith</v>
      </c>
      <c r="S188">
        <v>5</v>
      </c>
      <c r="T188">
        <v>250</v>
      </c>
    </row>
    <row r="189" spans="1:20" x14ac:dyDescent="0.85">
      <c r="A189" s="433" t="s">
        <v>126</v>
      </c>
      <c r="B189" s="429" t="s">
        <v>207</v>
      </c>
      <c r="C189" s="434">
        <v>53.5</v>
      </c>
      <c r="D189" s="434"/>
      <c r="E189" s="430" t="s">
        <v>757</v>
      </c>
      <c r="F189" s="435">
        <v>5</v>
      </c>
      <c r="G189" s="435">
        <v>1200</v>
      </c>
      <c r="H189" s="435">
        <v>10000</v>
      </c>
      <c r="I189" s="431" t="s">
        <v>777</v>
      </c>
      <c r="J189" s="432" t="s">
        <v>1</v>
      </c>
      <c r="K189" s="432">
        <v>-30</v>
      </c>
      <c r="L189" s="432">
        <v>90</v>
      </c>
      <c r="M189" s="432" t="s">
        <v>577</v>
      </c>
      <c r="N189" s="432">
        <v>70</v>
      </c>
      <c r="O189" s="435">
        <v>0</v>
      </c>
      <c r="P189" s="435" t="s">
        <v>168</v>
      </c>
      <c r="Q189" s="434">
        <f>C189*((100-Discounts!$B$11)/100)</f>
        <v>21.400000000000002</v>
      </c>
      <c r="R189" t="str">
        <f>IF(ISNUMBER(Table3[[#This Row],[Thickness]]), "Zenith", "")</f>
        <v>Zenith</v>
      </c>
      <c r="S189">
        <v>5</v>
      </c>
      <c r="T189">
        <v>250</v>
      </c>
    </row>
    <row r="190" spans="1:20" x14ac:dyDescent="0.85">
      <c r="A190" s="429" t="s">
        <v>126</v>
      </c>
      <c r="B190" s="429" t="s">
        <v>207</v>
      </c>
      <c r="C190" s="430">
        <v>53.5</v>
      </c>
      <c r="D190" s="430"/>
      <c r="E190" s="430" t="s">
        <v>757</v>
      </c>
      <c r="F190" s="431">
        <v>5</v>
      </c>
      <c r="G190" s="431">
        <v>1400</v>
      </c>
      <c r="H190" s="431">
        <v>10000</v>
      </c>
      <c r="I190" s="431" t="s">
        <v>777</v>
      </c>
      <c r="J190" s="432" t="s">
        <v>1</v>
      </c>
      <c r="K190" s="432">
        <v>-30</v>
      </c>
      <c r="L190" s="432">
        <v>90</v>
      </c>
      <c r="M190" s="432" t="s">
        <v>577</v>
      </c>
      <c r="N190" s="432">
        <v>70</v>
      </c>
      <c r="O190" s="431">
        <v>0</v>
      </c>
      <c r="P190" s="431" t="s">
        <v>168</v>
      </c>
      <c r="Q190" s="430">
        <f>C190*((100-Discounts!$B$11)/100)</f>
        <v>21.400000000000002</v>
      </c>
      <c r="R190" t="str">
        <f>IF(ISNUMBER(Table3[[#This Row],[Thickness]]), "Zenith", "")</f>
        <v>Zenith</v>
      </c>
      <c r="S190">
        <v>5</v>
      </c>
      <c r="T190">
        <v>250</v>
      </c>
    </row>
    <row r="191" spans="1:20" x14ac:dyDescent="0.85">
      <c r="A191" s="433" t="s">
        <v>127</v>
      </c>
      <c r="B191" s="429" t="s">
        <v>207</v>
      </c>
      <c r="C191" s="434">
        <v>65.5</v>
      </c>
      <c r="D191" s="434"/>
      <c r="E191" s="430" t="s">
        <v>757</v>
      </c>
      <c r="F191" s="435">
        <v>5</v>
      </c>
      <c r="G191" s="435">
        <v>1400</v>
      </c>
      <c r="H191" s="435">
        <v>10000</v>
      </c>
      <c r="I191" s="431" t="s">
        <v>777</v>
      </c>
      <c r="J191" s="432" t="s">
        <v>1</v>
      </c>
      <c r="K191" s="432">
        <v>-30</v>
      </c>
      <c r="L191" s="432">
        <v>90</v>
      </c>
      <c r="M191" s="432" t="s">
        <v>577</v>
      </c>
      <c r="N191" s="432">
        <v>70</v>
      </c>
      <c r="O191" s="435">
        <v>2</v>
      </c>
      <c r="P191" s="435" t="s">
        <v>178</v>
      </c>
      <c r="Q191" s="434">
        <f>C191*((100-Discounts!$B$11)/100)</f>
        <v>26.200000000000003</v>
      </c>
      <c r="R191" t="str">
        <f>IF(ISNUMBER(Table3[[#This Row],[Thickness]]), "Zenith", "")</f>
        <v>Zenith</v>
      </c>
      <c r="S191">
        <v>5</v>
      </c>
      <c r="T191">
        <v>250</v>
      </c>
    </row>
    <row r="192" spans="1:20" x14ac:dyDescent="0.85">
      <c r="A192" s="429" t="s">
        <v>128</v>
      </c>
      <c r="B192" s="429" t="s">
        <v>207</v>
      </c>
      <c r="C192" s="430">
        <v>63.5</v>
      </c>
      <c r="D192" s="430"/>
      <c r="E192" s="430" t="s">
        <v>757</v>
      </c>
      <c r="F192" s="431">
        <v>6</v>
      </c>
      <c r="G192" s="431">
        <v>1400</v>
      </c>
      <c r="H192" s="431">
        <v>10000</v>
      </c>
      <c r="I192" s="431" t="s">
        <v>777</v>
      </c>
      <c r="J192" s="432" t="s">
        <v>1</v>
      </c>
      <c r="K192" s="432">
        <v>-30</v>
      </c>
      <c r="L192" s="432">
        <v>90</v>
      </c>
      <c r="M192" s="432" t="s">
        <v>577</v>
      </c>
      <c r="N192" s="432">
        <v>70</v>
      </c>
      <c r="O192" s="431">
        <v>0</v>
      </c>
      <c r="P192" s="431" t="s">
        <v>168</v>
      </c>
      <c r="Q192" s="430">
        <f>C192*((100-Discounts!$B$11)/100)</f>
        <v>25.400000000000002</v>
      </c>
      <c r="R192" t="str">
        <f>IF(ISNUMBER(Table3[[#This Row],[Thickness]]), "Zenith", "")</f>
        <v>Zenith</v>
      </c>
      <c r="S192">
        <v>5</v>
      </c>
      <c r="T192">
        <v>250</v>
      </c>
    </row>
    <row r="193" spans="1:20" x14ac:dyDescent="0.85">
      <c r="A193" s="433" t="s">
        <v>129</v>
      </c>
      <c r="B193" s="429" t="s">
        <v>207</v>
      </c>
      <c r="C193" s="434">
        <v>83.5</v>
      </c>
      <c r="D193" s="434"/>
      <c r="E193" s="430" t="s">
        <v>757</v>
      </c>
      <c r="F193" s="435">
        <v>8</v>
      </c>
      <c r="G193" s="435">
        <v>1400</v>
      </c>
      <c r="H193" s="435">
        <v>5000</v>
      </c>
      <c r="I193" s="431" t="s">
        <v>777</v>
      </c>
      <c r="J193" s="432" t="s">
        <v>1</v>
      </c>
      <c r="K193" s="432">
        <v>-30</v>
      </c>
      <c r="L193" s="432">
        <v>90</v>
      </c>
      <c r="M193" s="432" t="s">
        <v>577</v>
      </c>
      <c r="N193" s="432">
        <v>70</v>
      </c>
      <c r="O193" s="435">
        <v>0</v>
      </c>
      <c r="P193" s="435" t="s">
        <v>168</v>
      </c>
      <c r="Q193" s="434">
        <f>C193*((100-Discounts!$B$11)/100)</f>
        <v>33.4</v>
      </c>
      <c r="R193" t="str">
        <f>IF(ISNUMBER(Table3[[#This Row],[Thickness]]), "Zenith", "")</f>
        <v>Zenith</v>
      </c>
      <c r="S193">
        <v>5</v>
      </c>
      <c r="T193">
        <v>250</v>
      </c>
    </row>
    <row r="194" spans="1:20" x14ac:dyDescent="0.85">
      <c r="A194" s="429" t="s">
        <v>129</v>
      </c>
      <c r="B194" s="429" t="s">
        <v>207</v>
      </c>
      <c r="C194" s="430">
        <v>83.5</v>
      </c>
      <c r="D194" s="430"/>
      <c r="E194" s="430" t="s">
        <v>757</v>
      </c>
      <c r="F194" s="431">
        <v>8</v>
      </c>
      <c r="G194" s="431">
        <v>1400</v>
      </c>
      <c r="H194" s="431">
        <v>10000</v>
      </c>
      <c r="I194" s="431" t="s">
        <v>777</v>
      </c>
      <c r="J194" s="432" t="s">
        <v>1</v>
      </c>
      <c r="K194" s="432">
        <v>-30</v>
      </c>
      <c r="L194" s="432">
        <v>90</v>
      </c>
      <c r="M194" s="432" t="s">
        <v>577</v>
      </c>
      <c r="N194" s="432">
        <v>70</v>
      </c>
      <c r="O194" s="431">
        <v>0</v>
      </c>
      <c r="P194" s="431" t="s">
        <v>168</v>
      </c>
      <c r="Q194" s="430">
        <f>C194*((100-Discounts!$B$11)/100)</f>
        <v>33.4</v>
      </c>
      <c r="R194" t="str">
        <f>IF(ISNUMBER(Table3[[#This Row],[Thickness]]), "Zenith", "")</f>
        <v>Zenith</v>
      </c>
      <c r="S194">
        <v>5</v>
      </c>
      <c r="T194">
        <v>250</v>
      </c>
    </row>
    <row r="195" spans="1:20" x14ac:dyDescent="0.85">
      <c r="A195" s="433" t="s">
        <v>130</v>
      </c>
      <c r="B195" s="429" t="s">
        <v>207</v>
      </c>
      <c r="C195" s="434">
        <v>102.5</v>
      </c>
      <c r="D195" s="434"/>
      <c r="E195" s="430" t="s">
        <v>757</v>
      </c>
      <c r="F195" s="435">
        <v>10</v>
      </c>
      <c r="G195" s="435">
        <v>1400</v>
      </c>
      <c r="H195" s="435">
        <v>5000</v>
      </c>
      <c r="I195" s="431" t="s">
        <v>777</v>
      </c>
      <c r="J195" s="432" t="s">
        <v>1</v>
      </c>
      <c r="K195" s="432">
        <v>-30</v>
      </c>
      <c r="L195" s="432">
        <v>90</v>
      </c>
      <c r="M195" s="432" t="s">
        <v>577</v>
      </c>
      <c r="N195" s="432">
        <v>70</v>
      </c>
      <c r="O195" s="435">
        <v>0</v>
      </c>
      <c r="P195" s="435" t="s">
        <v>168</v>
      </c>
      <c r="Q195" s="434">
        <f>C195*((100-Discounts!$B$11)/100)</f>
        <v>41</v>
      </c>
      <c r="R195" t="str">
        <f>IF(ISNUMBER(Table3[[#This Row],[Thickness]]), "Zenith", "")</f>
        <v>Zenith</v>
      </c>
      <c r="S195">
        <v>5</v>
      </c>
      <c r="T195">
        <v>250</v>
      </c>
    </row>
    <row r="196" spans="1:20" ht="27" thickBot="1" x14ac:dyDescent="0.9">
      <c r="A196" s="357"/>
      <c r="B196" s="358"/>
      <c r="C196" s="359"/>
      <c r="D196" s="359"/>
      <c r="E196" s="359"/>
      <c r="F196" s="360" t="s">
        <v>208</v>
      </c>
      <c r="G196" s="360">
        <v>0</v>
      </c>
      <c r="H196" s="325">
        <v>0</v>
      </c>
      <c r="I196" s="217" t="s">
        <v>777</v>
      </c>
      <c r="M196" s="342"/>
      <c r="N196" s="343"/>
      <c r="O196" s="325"/>
      <c r="P196" s="325"/>
      <c r="Q196" s="361" t="s">
        <v>323</v>
      </c>
      <c r="R196" t="str">
        <f>IF(ISNUMBER(Table3[[#This Row],[Thickness]]), "Zenith", "")</f>
        <v/>
      </c>
    </row>
    <row r="197" spans="1:20" ht="54" thickTop="1" thickBot="1" x14ac:dyDescent="0.9">
      <c r="A197" s="102" t="s">
        <v>322</v>
      </c>
      <c r="B197" s="296"/>
      <c r="C197" s="242" t="s">
        <v>179</v>
      </c>
      <c r="D197" s="312"/>
      <c r="E197" s="312"/>
      <c r="F197" s="240" t="s">
        <v>320</v>
      </c>
      <c r="G197" s="240" t="e">
        <v>#VALUE!</v>
      </c>
      <c r="H197" s="241" t="e">
        <v>#VALUE!</v>
      </c>
      <c r="I197" s="217" t="s">
        <v>777</v>
      </c>
      <c r="M197" s="234"/>
      <c r="N197" s="230"/>
      <c r="O197" s="241" t="s">
        <v>171</v>
      </c>
      <c r="P197" s="241" t="s">
        <v>325</v>
      </c>
      <c r="Q197" s="242" t="s">
        <v>199</v>
      </c>
      <c r="R197" t="str">
        <f>IF(ISNUMBER(Table3[[#This Row],[Thickness]]), "Zenith", "")</f>
        <v/>
      </c>
    </row>
    <row r="198" spans="1:20" ht="27" thickTop="1" x14ac:dyDescent="0.85">
      <c r="A198" s="429" t="s">
        <v>704</v>
      </c>
      <c r="B198" s="429" t="s">
        <v>208</v>
      </c>
      <c r="C198" s="430">
        <v>11.75</v>
      </c>
      <c r="D198" s="430"/>
      <c r="E198" s="430" t="s">
        <v>757</v>
      </c>
      <c r="F198" s="431">
        <v>0.5</v>
      </c>
      <c r="G198" s="431">
        <v>1400</v>
      </c>
      <c r="H198" s="431">
        <v>20000</v>
      </c>
      <c r="I198" s="431" t="s">
        <v>777</v>
      </c>
      <c r="J198" s="432" t="s">
        <v>1</v>
      </c>
      <c r="K198" s="432">
        <v>-30</v>
      </c>
      <c r="L198" s="432">
        <v>110</v>
      </c>
      <c r="M198" s="432" t="s">
        <v>577</v>
      </c>
      <c r="N198" s="432">
        <v>65</v>
      </c>
      <c r="O198" s="431" t="s">
        <v>168</v>
      </c>
      <c r="P198" s="431" t="s">
        <v>168</v>
      </c>
      <c r="Q198" s="430">
        <f>C198*((100-Discounts!$B$12)/100)</f>
        <v>4.7</v>
      </c>
      <c r="R198" t="str">
        <f>IF(ISNUMBER(Table3[[#This Row],[Thickness]]), "Zenith", "")</f>
        <v>Zenith</v>
      </c>
      <c r="S198">
        <v>10</v>
      </c>
      <c r="T198">
        <v>350</v>
      </c>
    </row>
    <row r="199" spans="1:20" x14ac:dyDescent="0.85">
      <c r="A199" s="433" t="s">
        <v>109</v>
      </c>
      <c r="B199" s="429" t="s">
        <v>208</v>
      </c>
      <c r="C199" s="434">
        <v>18.5</v>
      </c>
      <c r="D199" s="434"/>
      <c r="E199" s="430" t="s">
        <v>757</v>
      </c>
      <c r="F199" s="435">
        <v>1</v>
      </c>
      <c r="G199" s="435">
        <v>1400</v>
      </c>
      <c r="H199" s="435">
        <v>20000</v>
      </c>
      <c r="I199" s="431" t="s">
        <v>777</v>
      </c>
      <c r="J199" s="432" t="s">
        <v>1</v>
      </c>
      <c r="K199" s="432">
        <v>-30</v>
      </c>
      <c r="L199" s="432">
        <v>110</v>
      </c>
      <c r="M199" s="432" t="s">
        <v>577</v>
      </c>
      <c r="N199" s="432">
        <v>65</v>
      </c>
      <c r="O199" s="435" t="s">
        <v>168</v>
      </c>
      <c r="P199" s="435" t="s">
        <v>168</v>
      </c>
      <c r="Q199" s="434">
        <f>C199*((100-Discounts!$B$12)/100)</f>
        <v>7.4</v>
      </c>
      <c r="R199" t="str">
        <f>IF(ISNUMBER(Table3[[#This Row],[Thickness]]), "Zenith", "")</f>
        <v>Zenith</v>
      </c>
      <c r="S199">
        <v>10</v>
      </c>
      <c r="T199">
        <v>350</v>
      </c>
    </row>
    <row r="200" spans="1:20" x14ac:dyDescent="0.85">
      <c r="A200" s="429" t="s">
        <v>177</v>
      </c>
      <c r="B200" s="429" t="s">
        <v>208</v>
      </c>
      <c r="C200" s="430">
        <v>26</v>
      </c>
      <c r="D200" s="430"/>
      <c r="E200" s="430" t="s">
        <v>757</v>
      </c>
      <c r="F200" s="431">
        <v>1.5</v>
      </c>
      <c r="G200" s="431">
        <v>1400</v>
      </c>
      <c r="H200" s="431">
        <v>15000</v>
      </c>
      <c r="I200" s="431" t="s">
        <v>777</v>
      </c>
      <c r="J200" s="432" t="s">
        <v>1</v>
      </c>
      <c r="K200" s="432">
        <v>-30</v>
      </c>
      <c r="L200" s="432">
        <v>110</v>
      </c>
      <c r="M200" s="432" t="s">
        <v>577</v>
      </c>
      <c r="N200" s="432">
        <v>65</v>
      </c>
      <c r="O200" s="431" t="s">
        <v>168</v>
      </c>
      <c r="P200" s="431" t="s">
        <v>168</v>
      </c>
      <c r="Q200" s="430">
        <f>C200*((100-Discounts!$B$12)/100)</f>
        <v>10.4</v>
      </c>
      <c r="R200" t="str">
        <f>IF(ISNUMBER(Table3[[#This Row],[Thickness]]), "Zenith", "")</f>
        <v>Zenith</v>
      </c>
      <c r="S200">
        <v>10</v>
      </c>
      <c r="T200">
        <v>350</v>
      </c>
    </row>
    <row r="201" spans="1:20" x14ac:dyDescent="0.85">
      <c r="A201" s="433" t="s">
        <v>110</v>
      </c>
      <c r="B201" s="429" t="s">
        <v>208</v>
      </c>
      <c r="C201" s="434">
        <v>33</v>
      </c>
      <c r="D201" s="434"/>
      <c r="E201" s="430" t="s">
        <v>757</v>
      </c>
      <c r="F201" s="435">
        <v>2</v>
      </c>
      <c r="G201" s="435">
        <v>1400</v>
      </c>
      <c r="H201" s="435">
        <v>10000</v>
      </c>
      <c r="I201" s="431" t="s">
        <v>777</v>
      </c>
      <c r="J201" s="432" t="s">
        <v>1</v>
      </c>
      <c r="K201" s="432">
        <v>-30</v>
      </c>
      <c r="L201" s="432">
        <v>110</v>
      </c>
      <c r="M201" s="432" t="s">
        <v>577</v>
      </c>
      <c r="N201" s="432">
        <v>65</v>
      </c>
      <c r="O201" s="435" t="s">
        <v>168</v>
      </c>
      <c r="P201" s="435" t="s">
        <v>168</v>
      </c>
      <c r="Q201" s="434">
        <f>C201*((100-Discounts!$B$12)/100)</f>
        <v>13.200000000000001</v>
      </c>
      <c r="R201" t="str">
        <f>IF(ISNUMBER(Table3[[#This Row],[Thickness]]), "Zenith", "")</f>
        <v>Zenith</v>
      </c>
      <c r="S201">
        <v>10</v>
      </c>
      <c r="T201">
        <v>350</v>
      </c>
    </row>
    <row r="202" spans="1:20" x14ac:dyDescent="0.85">
      <c r="A202" s="429" t="s">
        <v>111</v>
      </c>
      <c r="B202" s="429" t="s">
        <v>208</v>
      </c>
      <c r="C202" s="430">
        <v>47</v>
      </c>
      <c r="D202" s="430"/>
      <c r="E202" s="430" t="s">
        <v>757</v>
      </c>
      <c r="F202" s="431">
        <v>3</v>
      </c>
      <c r="G202" s="431">
        <v>1400</v>
      </c>
      <c r="H202" s="431">
        <v>10000</v>
      </c>
      <c r="I202" s="431" t="s">
        <v>777</v>
      </c>
      <c r="J202" s="432" t="s">
        <v>1</v>
      </c>
      <c r="K202" s="432">
        <v>-30</v>
      </c>
      <c r="L202" s="432">
        <v>110</v>
      </c>
      <c r="M202" s="432" t="s">
        <v>577</v>
      </c>
      <c r="N202" s="432">
        <v>65</v>
      </c>
      <c r="O202" s="431" t="s">
        <v>168</v>
      </c>
      <c r="P202" s="431" t="s">
        <v>168</v>
      </c>
      <c r="Q202" s="430">
        <f>C202*((100-Discounts!$B$12)/100)</f>
        <v>18.8</v>
      </c>
      <c r="R202" t="str">
        <f>IF(ISNUMBER(Table3[[#This Row],[Thickness]]), "Zenith", "")</f>
        <v>Zenith</v>
      </c>
      <c r="S202">
        <v>10</v>
      </c>
      <c r="T202">
        <v>350</v>
      </c>
    </row>
    <row r="203" spans="1:20" x14ac:dyDescent="0.85">
      <c r="A203" s="433" t="s">
        <v>112</v>
      </c>
      <c r="B203" s="429" t="s">
        <v>208</v>
      </c>
      <c r="C203" s="434">
        <v>62.75</v>
      </c>
      <c r="D203" s="434"/>
      <c r="E203" s="430" t="s">
        <v>757</v>
      </c>
      <c r="F203" s="435">
        <v>4</v>
      </c>
      <c r="G203" s="435">
        <v>1400</v>
      </c>
      <c r="H203" s="435">
        <v>10000</v>
      </c>
      <c r="I203" s="431" t="s">
        <v>777</v>
      </c>
      <c r="J203" s="432" t="s">
        <v>1</v>
      </c>
      <c r="K203" s="432">
        <v>-30</v>
      </c>
      <c r="L203" s="432">
        <v>110</v>
      </c>
      <c r="M203" s="432" t="s">
        <v>577</v>
      </c>
      <c r="N203" s="432">
        <v>65</v>
      </c>
      <c r="O203" s="435" t="s">
        <v>168</v>
      </c>
      <c r="P203" s="435" t="s">
        <v>168</v>
      </c>
      <c r="Q203" s="434">
        <f>C203*((100-Discounts!$B$12)/100)</f>
        <v>25.1</v>
      </c>
      <c r="R203" t="str">
        <f>IF(ISNUMBER(Table3[[#This Row],[Thickness]]), "Zenith", "")</f>
        <v>Zenith</v>
      </c>
      <c r="S203">
        <v>10</v>
      </c>
      <c r="T203">
        <v>350</v>
      </c>
    </row>
    <row r="204" spans="1:20" x14ac:dyDescent="0.85">
      <c r="A204" s="429" t="s">
        <v>113</v>
      </c>
      <c r="B204" s="429" t="s">
        <v>208</v>
      </c>
      <c r="C204" s="430">
        <v>77.5</v>
      </c>
      <c r="D204" s="430"/>
      <c r="E204" s="430" t="s">
        <v>757</v>
      </c>
      <c r="F204" s="431">
        <v>5</v>
      </c>
      <c r="G204" s="431">
        <v>1400</v>
      </c>
      <c r="H204" s="431">
        <v>10000</v>
      </c>
      <c r="I204" s="431" t="s">
        <v>777</v>
      </c>
      <c r="J204" s="432" t="s">
        <v>1</v>
      </c>
      <c r="K204" s="432">
        <v>-30</v>
      </c>
      <c r="L204" s="432">
        <v>110</v>
      </c>
      <c r="M204" s="432" t="s">
        <v>577</v>
      </c>
      <c r="N204" s="432">
        <v>65</v>
      </c>
      <c r="O204" s="431" t="s">
        <v>168</v>
      </c>
      <c r="P204" s="431" t="s">
        <v>168</v>
      </c>
      <c r="Q204" s="430">
        <f>C204*((100-Discounts!$B$12)/100)</f>
        <v>31</v>
      </c>
      <c r="R204" t="str">
        <f>IF(ISNUMBER(Table3[[#This Row],[Thickness]]), "Zenith", "")</f>
        <v>Zenith</v>
      </c>
      <c r="S204">
        <v>10</v>
      </c>
      <c r="T204">
        <v>350</v>
      </c>
    </row>
    <row r="205" spans="1:20" x14ac:dyDescent="0.85">
      <c r="A205" s="433" t="s">
        <v>114</v>
      </c>
      <c r="B205" s="429" t="s">
        <v>208</v>
      </c>
      <c r="C205" s="434">
        <v>92</v>
      </c>
      <c r="D205" s="434"/>
      <c r="E205" s="430" t="s">
        <v>757</v>
      </c>
      <c r="F205" s="435">
        <v>6</v>
      </c>
      <c r="G205" s="435">
        <v>1400</v>
      </c>
      <c r="H205" s="435">
        <v>10000</v>
      </c>
      <c r="I205" s="431" t="s">
        <v>777</v>
      </c>
      <c r="J205" s="432" t="s">
        <v>1</v>
      </c>
      <c r="K205" s="432">
        <v>-30</v>
      </c>
      <c r="L205" s="432">
        <v>110</v>
      </c>
      <c r="M205" s="432" t="s">
        <v>577</v>
      </c>
      <c r="N205" s="432">
        <v>65</v>
      </c>
      <c r="O205" s="435" t="s">
        <v>168</v>
      </c>
      <c r="P205" s="435" t="s">
        <v>168</v>
      </c>
      <c r="Q205" s="434">
        <f>C205*((100-Discounts!$B$12)/100)</f>
        <v>36.800000000000004</v>
      </c>
      <c r="R205" t="str">
        <f>IF(ISNUMBER(Table3[[#This Row],[Thickness]]), "Zenith", "")</f>
        <v>Zenith</v>
      </c>
      <c r="S205">
        <v>10</v>
      </c>
      <c r="T205">
        <v>350</v>
      </c>
    </row>
    <row r="206" spans="1:20" x14ac:dyDescent="0.85">
      <c r="A206" s="429" t="s">
        <v>115</v>
      </c>
      <c r="B206" s="429" t="s">
        <v>208</v>
      </c>
      <c r="C206" s="430">
        <v>122.5</v>
      </c>
      <c r="D206" s="430"/>
      <c r="E206" s="430" t="s">
        <v>757</v>
      </c>
      <c r="F206" s="431">
        <v>8</v>
      </c>
      <c r="G206" s="431">
        <v>1400</v>
      </c>
      <c r="H206" s="431">
        <v>5000</v>
      </c>
      <c r="I206" s="431" t="s">
        <v>777</v>
      </c>
      <c r="J206" s="432" t="s">
        <v>1</v>
      </c>
      <c r="K206" s="432">
        <v>-30</v>
      </c>
      <c r="L206" s="432">
        <v>110</v>
      </c>
      <c r="M206" s="432" t="s">
        <v>577</v>
      </c>
      <c r="N206" s="432">
        <v>65</v>
      </c>
      <c r="O206" s="431" t="s">
        <v>168</v>
      </c>
      <c r="P206" s="431" t="s">
        <v>168</v>
      </c>
      <c r="Q206" s="430">
        <f>C206*((100-Discounts!$B$12)/100)</f>
        <v>49</v>
      </c>
      <c r="R206" t="str">
        <f>IF(ISNUMBER(Table3[[#This Row],[Thickness]]), "Zenith", "")</f>
        <v>Zenith</v>
      </c>
      <c r="S206">
        <v>10</v>
      </c>
      <c r="T206">
        <v>350</v>
      </c>
    </row>
    <row r="207" spans="1:20" x14ac:dyDescent="0.85">
      <c r="A207" s="433" t="s">
        <v>116</v>
      </c>
      <c r="B207" s="429" t="s">
        <v>208</v>
      </c>
      <c r="C207" s="434">
        <v>150.25</v>
      </c>
      <c r="D207" s="434"/>
      <c r="E207" s="430" t="s">
        <v>757</v>
      </c>
      <c r="F207" s="435">
        <v>10</v>
      </c>
      <c r="G207" s="435">
        <v>1400</v>
      </c>
      <c r="H207" s="435">
        <v>5000</v>
      </c>
      <c r="I207" s="431" t="s">
        <v>777</v>
      </c>
      <c r="J207" s="432" t="s">
        <v>1</v>
      </c>
      <c r="K207" s="432">
        <v>-30</v>
      </c>
      <c r="L207" s="432">
        <v>110</v>
      </c>
      <c r="M207" s="432" t="s">
        <v>577</v>
      </c>
      <c r="N207" s="432">
        <v>65</v>
      </c>
      <c r="O207" s="435" t="s">
        <v>168</v>
      </c>
      <c r="P207" s="435" t="s">
        <v>168</v>
      </c>
      <c r="Q207" s="434">
        <f>C207*((100-Discounts!$B$12)/100)</f>
        <v>60.1</v>
      </c>
      <c r="R207" t="str">
        <f>IF(ISNUMBER(Table3[[#This Row],[Thickness]]), "Zenith", "")</f>
        <v>Zenith</v>
      </c>
      <c r="S207">
        <v>10</v>
      </c>
      <c r="T207">
        <v>350</v>
      </c>
    </row>
    <row r="208" spans="1:20" ht="27" thickBot="1" x14ac:dyDescent="0.9">
      <c r="A208" s="357"/>
      <c r="B208" s="358"/>
      <c r="C208" s="359"/>
      <c r="D208" s="359"/>
      <c r="E208" s="359"/>
      <c r="F208" s="360" t="s">
        <v>370</v>
      </c>
      <c r="G208" s="360">
        <v>0</v>
      </c>
      <c r="H208" s="325">
        <v>0</v>
      </c>
      <c r="I208" s="217" t="s">
        <v>777</v>
      </c>
      <c r="M208" s="342"/>
      <c r="N208" s="343"/>
      <c r="O208" s="325"/>
      <c r="P208" s="325"/>
      <c r="Q208" s="361" t="s">
        <v>323</v>
      </c>
      <c r="R208" t="str">
        <f>IF(ISNUMBER(Table3[[#This Row],[Thickness]]), "Zenith", "")</f>
        <v/>
      </c>
    </row>
    <row r="209" spans="1:20" ht="54" thickTop="1" thickBot="1" x14ac:dyDescent="0.9">
      <c r="A209" s="102" t="s">
        <v>322</v>
      </c>
      <c r="B209" s="296"/>
      <c r="C209" s="242" t="s">
        <v>684</v>
      </c>
      <c r="D209" s="312"/>
      <c r="E209" s="312"/>
      <c r="F209" s="240" t="s">
        <v>320</v>
      </c>
      <c r="G209" s="240" t="e">
        <v>#VALUE!</v>
      </c>
      <c r="H209" s="241" t="e">
        <v>#VALUE!</v>
      </c>
      <c r="I209" s="217" t="s">
        <v>777</v>
      </c>
      <c r="M209" s="234"/>
      <c r="N209" s="230"/>
      <c r="O209" s="241" t="s">
        <v>171</v>
      </c>
      <c r="P209" s="241" t="s">
        <v>325</v>
      </c>
      <c r="Q209" s="242" t="s">
        <v>199</v>
      </c>
      <c r="R209" t="str">
        <f>IF(ISNUMBER(Table3[[#This Row],[Thickness]]), "Zenith", "")</f>
        <v/>
      </c>
    </row>
    <row r="210" spans="1:20" ht="27" thickTop="1" x14ac:dyDescent="0.85">
      <c r="A210" s="429" t="s">
        <v>367</v>
      </c>
      <c r="B210" s="429" t="s">
        <v>370</v>
      </c>
      <c r="C210" s="430">
        <v>43.5</v>
      </c>
      <c r="D210" s="430"/>
      <c r="E210" s="430" t="s">
        <v>757</v>
      </c>
      <c r="F210" s="431">
        <v>2</v>
      </c>
      <c r="G210" s="431">
        <v>1400</v>
      </c>
      <c r="H210" s="431">
        <v>10000</v>
      </c>
      <c r="I210" s="431" t="s">
        <v>777</v>
      </c>
      <c r="J210" s="432" t="s">
        <v>1</v>
      </c>
      <c r="K210" s="432">
        <v>-30</v>
      </c>
      <c r="L210" s="432">
        <v>110</v>
      </c>
      <c r="M210" s="432" t="s">
        <v>577</v>
      </c>
      <c r="N210" s="432">
        <v>80</v>
      </c>
      <c r="O210" s="431" t="s">
        <v>168</v>
      </c>
      <c r="P210" s="431" t="s">
        <v>168</v>
      </c>
      <c r="Q210" s="430">
        <f>C210*((100-Discounts!$B$12)/100)</f>
        <v>17.400000000000002</v>
      </c>
      <c r="R210" t="str">
        <f>IF(ISNUMBER(Table3[[#This Row],[Thickness]]), "Zenith", "")</f>
        <v>Zenith</v>
      </c>
      <c r="S210">
        <v>10</v>
      </c>
      <c r="T210">
        <v>350</v>
      </c>
    </row>
    <row r="211" spans="1:20" x14ac:dyDescent="0.85">
      <c r="A211" s="433" t="s">
        <v>368</v>
      </c>
      <c r="B211" s="429" t="s">
        <v>370</v>
      </c>
      <c r="C211" s="434">
        <v>62</v>
      </c>
      <c r="D211" s="434"/>
      <c r="E211" s="430" t="s">
        <v>757</v>
      </c>
      <c r="F211" s="435">
        <v>3</v>
      </c>
      <c r="G211" s="435">
        <v>1400</v>
      </c>
      <c r="H211" s="435">
        <v>10000</v>
      </c>
      <c r="I211" s="431" t="s">
        <v>777</v>
      </c>
      <c r="J211" s="432" t="s">
        <v>1</v>
      </c>
      <c r="K211" s="432">
        <v>-30</v>
      </c>
      <c r="L211" s="432">
        <v>110</v>
      </c>
      <c r="M211" s="432" t="s">
        <v>577</v>
      </c>
      <c r="N211" s="432">
        <v>80</v>
      </c>
      <c r="O211" s="435" t="s">
        <v>168</v>
      </c>
      <c r="P211" s="435" t="s">
        <v>168</v>
      </c>
      <c r="Q211" s="434">
        <f>C211*((100-Discounts!$B$12)/100)</f>
        <v>24.8</v>
      </c>
      <c r="R211" t="str">
        <f>IF(ISNUMBER(Table3[[#This Row],[Thickness]]), "Zenith", "")</f>
        <v>Zenith</v>
      </c>
      <c r="S211">
        <v>10</v>
      </c>
      <c r="T211">
        <v>350</v>
      </c>
    </row>
    <row r="212" spans="1:20" x14ac:dyDescent="0.85">
      <c r="A212" s="429" t="s">
        <v>369</v>
      </c>
      <c r="B212" s="429" t="s">
        <v>370</v>
      </c>
      <c r="C212" s="430">
        <v>82.5</v>
      </c>
      <c r="D212" s="430"/>
      <c r="E212" s="430" t="s">
        <v>757</v>
      </c>
      <c r="F212" s="431">
        <v>4</v>
      </c>
      <c r="G212" s="431">
        <v>1400</v>
      </c>
      <c r="H212" s="431">
        <v>10000</v>
      </c>
      <c r="I212" s="431" t="s">
        <v>777</v>
      </c>
      <c r="J212" s="432" t="s">
        <v>1</v>
      </c>
      <c r="K212" s="432">
        <v>-30</v>
      </c>
      <c r="L212" s="432">
        <v>110</v>
      </c>
      <c r="M212" s="432" t="s">
        <v>577</v>
      </c>
      <c r="N212" s="432">
        <v>80</v>
      </c>
      <c r="O212" s="431" t="s">
        <v>168</v>
      </c>
      <c r="P212" s="431" t="s">
        <v>168</v>
      </c>
      <c r="Q212" s="430">
        <f>C212*((100-Discounts!$B$12)/100)</f>
        <v>33</v>
      </c>
      <c r="R212" t="str">
        <f>IF(ISNUMBER(Table3[[#This Row],[Thickness]]), "Zenith", "")</f>
        <v>Zenith</v>
      </c>
      <c r="S212">
        <v>10</v>
      </c>
      <c r="T212">
        <v>350</v>
      </c>
    </row>
    <row r="213" spans="1:20" ht="27" thickBot="1" x14ac:dyDescent="0.9">
      <c r="A213" s="357"/>
      <c r="B213" s="358"/>
      <c r="C213" s="359"/>
      <c r="D213" s="359"/>
      <c r="E213" s="359"/>
      <c r="F213" s="360" t="s">
        <v>685</v>
      </c>
      <c r="G213" s="360">
        <v>0</v>
      </c>
      <c r="H213" s="325">
        <v>0</v>
      </c>
      <c r="I213" s="217" t="s">
        <v>777</v>
      </c>
      <c r="M213" s="353"/>
      <c r="N213" s="349"/>
      <c r="O213" s="325"/>
      <c r="P213" s="325"/>
      <c r="Q213" s="361" t="s">
        <v>323</v>
      </c>
      <c r="R213" t="str">
        <f>IF(ISNUMBER(Table3[[#This Row],[Thickness]]), "Zenith", "")</f>
        <v/>
      </c>
    </row>
    <row r="214" spans="1:20" ht="54" thickTop="1" thickBot="1" x14ac:dyDescent="0.9">
      <c r="A214" s="102" t="s">
        <v>322</v>
      </c>
      <c r="B214" s="296"/>
      <c r="C214" s="242" t="s">
        <v>684</v>
      </c>
      <c r="D214" s="312"/>
      <c r="E214" s="312"/>
      <c r="F214" s="240" t="s">
        <v>320</v>
      </c>
      <c r="G214" s="240" t="e">
        <v>#VALUE!</v>
      </c>
      <c r="H214" s="241" t="e">
        <v>#VALUE!</v>
      </c>
      <c r="I214" s="217" t="s">
        <v>777</v>
      </c>
      <c r="M214" s="231"/>
      <c r="N214" s="233"/>
      <c r="O214" s="241" t="s">
        <v>171</v>
      </c>
      <c r="P214" s="241" t="s">
        <v>325</v>
      </c>
      <c r="Q214" s="242" t="s">
        <v>199</v>
      </c>
      <c r="R214" t="str">
        <f>IF(ISNUMBER(Table3[[#This Row],[Thickness]]), "Zenith", "")</f>
        <v/>
      </c>
    </row>
    <row r="215" spans="1:20" ht="27" thickTop="1" x14ac:dyDescent="0.85">
      <c r="A215" s="429" t="s">
        <v>686</v>
      </c>
      <c r="B215" s="429" t="s">
        <v>685</v>
      </c>
      <c r="C215" s="430">
        <v>11</v>
      </c>
      <c r="D215" s="430"/>
      <c r="E215" s="430" t="s">
        <v>757</v>
      </c>
      <c r="F215" s="431">
        <v>1</v>
      </c>
      <c r="G215" s="431">
        <v>1400</v>
      </c>
      <c r="H215" s="431">
        <v>10000</v>
      </c>
      <c r="I215" s="431" t="s">
        <v>777</v>
      </c>
      <c r="J215" s="432" t="s">
        <v>1</v>
      </c>
      <c r="K215" s="432">
        <v>-30</v>
      </c>
      <c r="L215" s="432">
        <v>90</v>
      </c>
      <c r="M215" s="432" t="s">
        <v>577</v>
      </c>
      <c r="N215" s="432">
        <v>50</v>
      </c>
      <c r="O215" s="431" t="s">
        <v>168</v>
      </c>
      <c r="P215" s="431" t="s">
        <v>168</v>
      </c>
      <c r="Q215" s="430">
        <f>C215*((100-Discounts!$B$13)/100)</f>
        <v>4.62</v>
      </c>
      <c r="R215" t="str">
        <f>IF(ISNUMBER(Table3[[#This Row],[Thickness]]), "Zenith", "")</f>
        <v>Zenith</v>
      </c>
      <c r="S215">
        <v>4</v>
      </c>
      <c r="T215">
        <v>200</v>
      </c>
    </row>
    <row r="216" spans="1:20" x14ac:dyDescent="0.85">
      <c r="A216" s="433" t="s">
        <v>687</v>
      </c>
      <c r="B216" s="429" t="s">
        <v>685</v>
      </c>
      <c r="C216" s="434">
        <v>19</v>
      </c>
      <c r="D216" s="434"/>
      <c r="E216" s="430" t="s">
        <v>757</v>
      </c>
      <c r="F216" s="435">
        <v>2</v>
      </c>
      <c r="G216" s="435">
        <v>1400</v>
      </c>
      <c r="H216" s="435">
        <v>10000</v>
      </c>
      <c r="I216" s="431" t="s">
        <v>777</v>
      </c>
      <c r="J216" s="432" t="s">
        <v>1</v>
      </c>
      <c r="K216" s="432">
        <v>-30</v>
      </c>
      <c r="L216" s="432">
        <v>90</v>
      </c>
      <c r="M216" s="432" t="s">
        <v>577</v>
      </c>
      <c r="N216" s="432">
        <v>50</v>
      </c>
      <c r="O216" s="435" t="s">
        <v>168</v>
      </c>
      <c r="P216" s="435" t="s">
        <v>168</v>
      </c>
      <c r="Q216" s="434">
        <f>C216*((100-Discounts!$B$13)/100)</f>
        <v>7.9799999999999995</v>
      </c>
      <c r="R216" t="str">
        <f>IF(ISNUMBER(Table3[[#This Row],[Thickness]]), "Zenith", "")</f>
        <v>Zenith</v>
      </c>
      <c r="S216">
        <v>4</v>
      </c>
      <c r="T216">
        <v>200</v>
      </c>
    </row>
    <row r="217" spans="1:20" x14ac:dyDescent="0.85">
      <c r="A217" s="429" t="s">
        <v>688</v>
      </c>
      <c r="B217" s="429" t="s">
        <v>685</v>
      </c>
      <c r="C217" s="430">
        <v>23.75</v>
      </c>
      <c r="D217" s="430"/>
      <c r="E217" s="430" t="s">
        <v>757</v>
      </c>
      <c r="F217" s="431">
        <v>2.5</v>
      </c>
      <c r="G217" s="431">
        <v>1400</v>
      </c>
      <c r="H217" s="431">
        <v>10000</v>
      </c>
      <c r="I217" s="431" t="s">
        <v>777</v>
      </c>
      <c r="J217" s="432" t="s">
        <v>1</v>
      </c>
      <c r="K217" s="432">
        <v>-30</v>
      </c>
      <c r="L217" s="432">
        <v>90</v>
      </c>
      <c r="M217" s="432" t="s">
        <v>577</v>
      </c>
      <c r="N217" s="432">
        <v>50</v>
      </c>
      <c r="O217" s="431" t="s">
        <v>168</v>
      </c>
      <c r="P217" s="431" t="s">
        <v>168</v>
      </c>
      <c r="Q217" s="430">
        <f>C217*((100-Discounts!$B$13)/100)</f>
        <v>9.9749999999999996</v>
      </c>
      <c r="R217" t="str">
        <f>IF(ISNUMBER(Table3[[#This Row],[Thickness]]), "Zenith", "")</f>
        <v>Zenith</v>
      </c>
      <c r="S217">
        <v>4</v>
      </c>
      <c r="T217">
        <v>200</v>
      </c>
    </row>
    <row r="218" spans="1:20" x14ac:dyDescent="0.85">
      <c r="A218" s="433" t="s">
        <v>689</v>
      </c>
      <c r="B218" s="429" t="s">
        <v>685</v>
      </c>
      <c r="C218" s="434">
        <v>26.75</v>
      </c>
      <c r="D218" s="434"/>
      <c r="E218" s="430" t="s">
        <v>757</v>
      </c>
      <c r="F218" s="435">
        <v>3</v>
      </c>
      <c r="G218" s="435">
        <v>1400</v>
      </c>
      <c r="H218" s="435">
        <v>10000</v>
      </c>
      <c r="I218" s="431" t="s">
        <v>777</v>
      </c>
      <c r="J218" s="432" t="s">
        <v>1</v>
      </c>
      <c r="K218" s="432">
        <v>-30</v>
      </c>
      <c r="L218" s="432">
        <v>90</v>
      </c>
      <c r="M218" s="432" t="s">
        <v>577</v>
      </c>
      <c r="N218" s="432">
        <v>50</v>
      </c>
      <c r="O218" s="435" t="s">
        <v>168</v>
      </c>
      <c r="P218" s="435" t="s">
        <v>168</v>
      </c>
      <c r="Q218" s="434">
        <f>C218*((100-Discounts!$B$13)/100)</f>
        <v>11.234999999999999</v>
      </c>
      <c r="R218" t="str">
        <f>IF(ISNUMBER(Table3[[#This Row],[Thickness]]), "Zenith", "")</f>
        <v>Zenith</v>
      </c>
      <c r="S218">
        <v>4</v>
      </c>
      <c r="T218">
        <v>200</v>
      </c>
    </row>
    <row r="219" spans="1:20" x14ac:dyDescent="0.85">
      <c r="A219" s="429" t="s">
        <v>690</v>
      </c>
      <c r="B219" s="429" t="s">
        <v>685</v>
      </c>
      <c r="C219" s="430">
        <v>35.5</v>
      </c>
      <c r="D219" s="430"/>
      <c r="E219" s="430" t="s">
        <v>757</v>
      </c>
      <c r="F219" s="431">
        <v>4</v>
      </c>
      <c r="G219" s="431">
        <v>1400</v>
      </c>
      <c r="H219" s="431">
        <v>10000</v>
      </c>
      <c r="I219" s="431" t="s">
        <v>777</v>
      </c>
      <c r="J219" s="432" t="s">
        <v>1</v>
      </c>
      <c r="K219" s="432">
        <v>-30</v>
      </c>
      <c r="L219" s="432">
        <v>90</v>
      </c>
      <c r="M219" s="432" t="s">
        <v>577</v>
      </c>
      <c r="N219" s="432">
        <v>50</v>
      </c>
      <c r="O219" s="431" t="s">
        <v>168</v>
      </c>
      <c r="P219" s="431" t="s">
        <v>168</v>
      </c>
      <c r="Q219" s="430">
        <f>C219*((100-Discounts!$B$13)/100)</f>
        <v>14.91</v>
      </c>
      <c r="R219" t="str">
        <f>IF(ISNUMBER(Table3[[#This Row],[Thickness]]), "Zenith", "")</f>
        <v>Zenith</v>
      </c>
      <c r="S219">
        <v>4</v>
      </c>
      <c r="T219">
        <v>200</v>
      </c>
    </row>
    <row r="220" spans="1:20" x14ac:dyDescent="0.85">
      <c r="A220" s="433" t="s">
        <v>691</v>
      </c>
      <c r="B220" s="429" t="s">
        <v>685</v>
      </c>
      <c r="C220" s="434">
        <v>43.5</v>
      </c>
      <c r="D220" s="434"/>
      <c r="E220" s="430" t="s">
        <v>757</v>
      </c>
      <c r="F220" s="435">
        <v>5</v>
      </c>
      <c r="G220" s="435">
        <v>1400</v>
      </c>
      <c r="H220" s="435">
        <v>10000</v>
      </c>
      <c r="I220" s="431" t="s">
        <v>777</v>
      </c>
      <c r="J220" s="432" t="s">
        <v>1</v>
      </c>
      <c r="K220" s="432">
        <v>-30</v>
      </c>
      <c r="L220" s="432">
        <v>90</v>
      </c>
      <c r="M220" s="432" t="s">
        <v>577</v>
      </c>
      <c r="N220" s="432">
        <v>50</v>
      </c>
      <c r="O220" s="435" t="s">
        <v>168</v>
      </c>
      <c r="P220" s="435" t="s">
        <v>168</v>
      </c>
      <c r="Q220" s="434">
        <f>C220*((100-Discounts!$B$13)/100)</f>
        <v>18.27</v>
      </c>
      <c r="R220" t="str">
        <f>IF(ISNUMBER(Table3[[#This Row],[Thickness]]), "Zenith", "")</f>
        <v>Zenith</v>
      </c>
      <c r="S220">
        <v>4</v>
      </c>
      <c r="T220">
        <v>200</v>
      </c>
    </row>
    <row r="221" spans="1:20" x14ac:dyDescent="0.85">
      <c r="A221" s="429" t="s">
        <v>692</v>
      </c>
      <c r="B221" s="429" t="s">
        <v>685</v>
      </c>
      <c r="C221" s="430">
        <v>51.25</v>
      </c>
      <c r="D221" s="430"/>
      <c r="E221" s="430" t="s">
        <v>757</v>
      </c>
      <c r="F221" s="431">
        <v>6</v>
      </c>
      <c r="G221" s="431">
        <v>1400</v>
      </c>
      <c r="H221" s="431">
        <v>10000</v>
      </c>
      <c r="I221" s="431" t="s">
        <v>777</v>
      </c>
      <c r="J221" s="432" t="s">
        <v>1</v>
      </c>
      <c r="K221" s="432">
        <v>-30</v>
      </c>
      <c r="L221" s="432">
        <v>90</v>
      </c>
      <c r="M221" s="432" t="s">
        <v>577</v>
      </c>
      <c r="N221" s="432">
        <v>50</v>
      </c>
      <c r="O221" s="431" t="s">
        <v>168</v>
      </c>
      <c r="P221" s="431" t="s">
        <v>168</v>
      </c>
      <c r="Q221" s="430">
        <f>C221*((100-Discounts!$B$13)/100)</f>
        <v>21.524999999999999</v>
      </c>
      <c r="R221" t="str">
        <f>IF(ISNUMBER(Table3[[#This Row],[Thickness]]), "Zenith", "")</f>
        <v>Zenith</v>
      </c>
      <c r="S221">
        <v>4</v>
      </c>
      <c r="T221">
        <v>200</v>
      </c>
    </row>
    <row r="222" spans="1:20" x14ac:dyDescent="0.85">
      <c r="A222" s="433" t="s">
        <v>693</v>
      </c>
      <c r="B222" s="429" t="s">
        <v>685</v>
      </c>
      <c r="C222" s="434">
        <v>67.25</v>
      </c>
      <c r="D222" s="434"/>
      <c r="E222" s="430" t="s">
        <v>757</v>
      </c>
      <c r="F222" s="435">
        <v>8</v>
      </c>
      <c r="G222" s="435">
        <v>1400</v>
      </c>
      <c r="H222" s="435">
        <v>5000</v>
      </c>
      <c r="I222" s="431" t="s">
        <v>777</v>
      </c>
      <c r="J222" s="432" t="s">
        <v>1</v>
      </c>
      <c r="K222" s="432">
        <v>-30</v>
      </c>
      <c r="L222" s="432">
        <v>90</v>
      </c>
      <c r="M222" s="432" t="s">
        <v>577</v>
      </c>
      <c r="N222" s="432">
        <v>50</v>
      </c>
      <c r="O222" s="435" t="s">
        <v>168</v>
      </c>
      <c r="P222" s="435" t="s">
        <v>168</v>
      </c>
      <c r="Q222" s="434">
        <f>C222*((100-Discounts!$B$13)/100)</f>
        <v>28.244999999999997</v>
      </c>
      <c r="R222" t="str">
        <f>IF(ISNUMBER(Table3[[#This Row],[Thickness]]), "Zenith", "")</f>
        <v>Zenith</v>
      </c>
      <c r="S222">
        <v>4</v>
      </c>
      <c r="T222">
        <v>200</v>
      </c>
    </row>
    <row r="223" spans="1:20" x14ac:dyDescent="0.85">
      <c r="A223" s="429" t="s">
        <v>694</v>
      </c>
      <c r="B223" s="429" t="s">
        <v>685</v>
      </c>
      <c r="C223" s="430">
        <v>82.5</v>
      </c>
      <c r="D223" s="430"/>
      <c r="E223" s="430" t="s">
        <v>757</v>
      </c>
      <c r="F223" s="431">
        <v>10</v>
      </c>
      <c r="G223" s="431">
        <v>1400</v>
      </c>
      <c r="H223" s="431">
        <v>5000</v>
      </c>
      <c r="I223" s="431" t="s">
        <v>777</v>
      </c>
      <c r="J223" s="432" t="s">
        <v>1</v>
      </c>
      <c r="K223" s="432">
        <v>-30</v>
      </c>
      <c r="L223" s="432">
        <v>90</v>
      </c>
      <c r="M223" s="432" t="s">
        <v>577</v>
      </c>
      <c r="N223" s="432">
        <v>50</v>
      </c>
      <c r="O223" s="431" t="s">
        <v>168</v>
      </c>
      <c r="P223" s="431" t="s">
        <v>168</v>
      </c>
      <c r="Q223" s="430">
        <f>C223*((100-Discounts!$B$13)/100)</f>
        <v>34.65</v>
      </c>
      <c r="R223" t="str">
        <f>IF(ISNUMBER(Table3[[#This Row],[Thickness]]), "Zenith", "")</f>
        <v>Zenith</v>
      </c>
      <c r="S223">
        <v>4</v>
      </c>
      <c r="T223">
        <v>200</v>
      </c>
    </row>
    <row r="224" spans="1:20" x14ac:dyDescent="0.85">
      <c r="A224" s="433" t="s">
        <v>695</v>
      </c>
      <c r="B224" s="429" t="s">
        <v>685</v>
      </c>
      <c r="C224" s="434">
        <v>98.5</v>
      </c>
      <c r="D224" s="434"/>
      <c r="E224" s="430" t="s">
        <v>757</v>
      </c>
      <c r="F224" s="435">
        <v>12</v>
      </c>
      <c r="G224" s="435">
        <v>1400</v>
      </c>
      <c r="H224" s="435">
        <v>5000</v>
      </c>
      <c r="I224" s="431" t="s">
        <v>777</v>
      </c>
      <c r="J224" s="432" t="s">
        <v>1</v>
      </c>
      <c r="K224" s="432">
        <v>-30</v>
      </c>
      <c r="L224" s="432">
        <v>90</v>
      </c>
      <c r="M224" s="432" t="s">
        <v>577</v>
      </c>
      <c r="N224" s="432">
        <v>50</v>
      </c>
      <c r="O224" s="435" t="s">
        <v>168</v>
      </c>
      <c r="P224" s="435" t="s">
        <v>168</v>
      </c>
      <c r="Q224" s="434">
        <f>C224*((100-Discounts!$B$13)/100)</f>
        <v>41.37</v>
      </c>
      <c r="R224" t="str">
        <f>IF(ISNUMBER(Table3[[#This Row],[Thickness]]), "Zenith", "")</f>
        <v>Zenith</v>
      </c>
      <c r="S224">
        <v>4</v>
      </c>
      <c r="T224">
        <v>200</v>
      </c>
    </row>
    <row r="225" spans="1:20" x14ac:dyDescent="0.85">
      <c r="A225" s="429" t="s">
        <v>696</v>
      </c>
      <c r="B225" s="429" t="s">
        <v>685</v>
      </c>
      <c r="C225" s="430">
        <v>157.25</v>
      </c>
      <c r="D225" s="430"/>
      <c r="E225" s="430" t="s">
        <v>757</v>
      </c>
      <c r="F225" s="431">
        <v>20</v>
      </c>
      <c r="G225" s="431">
        <v>1400</v>
      </c>
      <c r="H225" s="431">
        <v>5000</v>
      </c>
      <c r="I225" s="431" t="s">
        <v>777</v>
      </c>
      <c r="J225" s="432" t="s">
        <v>1</v>
      </c>
      <c r="K225" s="432">
        <v>-30</v>
      </c>
      <c r="L225" s="432">
        <v>90</v>
      </c>
      <c r="M225" s="432" t="s">
        <v>577</v>
      </c>
      <c r="N225" s="432">
        <v>50</v>
      </c>
      <c r="O225" s="431" t="s">
        <v>168</v>
      </c>
      <c r="P225" s="431" t="s">
        <v>168</v>
      </c>
      <c r="Q225" s="430">
        <f>C225*((100-Discounts!$B$13)/100)</f>
        <v>66.045000000000002</v>
      </c>
      <c r="R225" t="str">
        <f>IF(ISNUMBER(Table3[[#This Row],[Thickness]]), "Zenith", "")</f>
        <v>Zenith</v>
      </c>
      <c r="S225">
        <v>4</v>
      </c>
      <c r="T225">
        <v>200</v>
      </c>
    </row>
    <row r="226" spans="1:20" ht="27" thickBot="1" x14ac:dyDescent="0.9">
      <c r="A226" s="127"/>
      <c r="B226" s="127"/>
      <c r="C226" s="362"/>
      <c r="D226" s="362"/>
      <c r="E226" s="362"/>
      <c r="F226" s="363" t="s">
        <v>373</v>
      </c>
      <c r="G226" s="363">
        <v>0</v>
      </c>
      <c r="H226" s="326">
        <v>0</v>
      </c>
      <c r="I226" s="217" t="s">
        <v>777</v>
      </c>
      <c r="M226" s="342"/>
      <c r="N226" s="343"/>
      <c r="O226" s="364"/>
      <c r="P226" s="364"/>
      <c r="Q226" s="326"/>
      <c r="R226" t="str">
        <f>IF(ISNUMBER(Table3[[#This Row],[Thickness]]), "Zenith", "")</f>
        <v/>
      </c>
    </row>
    <row r="227" spans="1:20" ht="27.5" thickTop="1" thickBot="1" x14ac:dyDescent="0.9">
      <c r="A227" s="128"/>
      <c r="B227" s="297"/>
      <c r="C227" s="245"/>
      <c r="D227" s="245"/>
      <c r="E227" s="245"/>
      <c r="F227" s="243" t="s">
        <v>211</v>
      </c>
      <c r="G227" s="243">
        <v>0</v>
      </c>
      <c r="H227" s="244">
        <v>0</v>
      </c>
      <c r="I227" s="217" t="s">
        <v>777</v>
      </c>
      <c r="M227" s="234"/>
      <c r="N227" s="230"/>
      <c r="O227" s="244"/>
      <c r="P227" s="244"/>
      <c r="Q227" s="246" t="s">
        <v>323</v>
      </c>
      <c r="R227" t="str">
        <f>IF(ISNUMBER(Table3[[#This Row],[Thickness]]), "Zenith", "")</f>
        <v/>
      </c>
    </row>
    <row r="228" spans="1:20" ht="54" thickTop="1" thickBot="1" x14ac:dyDescent="0.9">
      <c r="A228" s="129" t="s">
        <v>322</v>
      </c>
      <c r="B228" s="298"/>
      <c r="C228" s="249" t="s">
        <v>179</v>
      </c>
      <c r="D228" s="313"/>
      <c r="E228" s="313"/>
      <c r="F228" s="247" t="s">
        <v>320</v>
      </c>
      <c r="G228" s="247" t="e">
        <v>#VALUE!</v>
      </c>
      <c r="H228" s="248" t="e">
        <v>#VALUE!</v>
      </c>
      <c r="I228" s="217" t="s">
        <v>777</v>
      </c>
      <c r="M228" s="231"/>
      <c r="N228" s="233"/>
      <c r="O228" s="248" t="s">
        <v>171</v>
      </c>
      <c r="P228" s="248" t="s">
        <v>325</v>
      </c>
      <c r="Q228" s="248" t="s">
        <v>199</v>
      </c>
      <c r="R228" t="str">
        <f>IF(ISNUMBER(Table3[[#This Row],[Thickness]]), "Zenith", "")</f>
        <v/>
      </c>
    </row>
    <row r="229" spans="1:20" ht="27" thickTop="1" x14ac:dyDescent="0.85">
      <c r="A229" s="429" t="s">
        <v>134</v>
      </c>
      <c r="B229" s="429" t="s">
        <v>211</v>
      </c>
      <c r="C229" s="430">
        <v>9.75</v>
      </c>
      <c r="D229" s="430"/>
      <c r="E229" s="430" t="s">
        <v>757</v>
      </c>
      <c r="F229" s="431">
        <v>1</v>
      </c>
      <c r="G229" s="431">
        <v>1400</v>
      </c>
      <c r="H229" s="431">
        <v>20000</v>
      </c>
      <c r="I229" s="431" t="s">
        <v>777</v>
      </c>
      <c r="J229" s="432" t="s">
        <v>210</v>
      </c>
      <c r="K229" s="432">
        <v>-30</v>
      </c>
      <c r="L229" s="432">
        <v>90</v>
      </c>
      <c r="M229" s="432" t="s">
        <v>577</v>
      </c>
      <c r="N229" s="432">
        <v>70</v>
      </c>
      <c r="O229" s="431" t="s">
        <v>168</v>
      </c>
      <c r="P229" s="431" t="s">
        <v>168</v>
      </c>
      <c r="Q229" s="430">
        <f>C229*((100-Discounts!$B$15)/100)</f>
        <v>3.9000000000000004</v>
      </c>
      <c r="R229" t="str">
        <f>IF(ISNUMBER(Table3[[#This Row],[Thickness]]), "Zenith", "")</f>
        <v>Zenith</v>
      </c>
      <c r="S229">
        <v>4</v>
      </c>
      <c r="T229">
        <v>200</v>
      </c>
    </row>
    <row r="230" spans="1:20" x14ac:dyDescent="0.85">
      <c r="A230" s="433" t="s">
        <v>35</v>
      </c>
      <c r="B230" s="429" t="s">
        <v>211</v>
      </c>
      <c r="C230" s="434">
        <v>13.25</v>
      </c>
      <c r="D230" s="434"/>
      <c r="E230" s="430" t="s">
        <v>757</v>
      </c>
      <c r="F230" s="435">
        <v>1.5</v>
      </c>
      <c r="G230" s="435">
        <v>1400</v>
      </c>
      <c r="H230" s="435">
        <v>15000</v>
      </c>
      <c r="I230" s="431" t="s">
        <v>777</v>
      </c>
      <c r="J230" s="432" t="s">
        <v>210</v>
      </c>
      <c r="K230" s="432">
        <v>-30</v>
      </c>
      <c r="L230" s="432">
        <v>90</v>
      </c>
      <c r="M230" s="432" t="s">
        <v>577</v>
      </c>
      <c r="N230" s="432">
        <v>70</v>
      </c>
      <c r="O230" s="435" t="s">
        <v>168</v>
      </c>
      <c r="P230" s="435" t="s">
        <v>168</v>
      </c>
      <c r="Q230" s="434">
        <f>C230*((100-Discounts!$B$15)/100)</f>
        <v>5.3000000000000007</v>
      </c>
      <c r="R230" t="str">
        <f>IF(ISNUMBER(Table3[[#This Row],[Thickness]]), "Zenith", "")</f>
        <v>Zenith</v>
      </c>
      <c r="S230">
        <v>4</v>
      </c>
      <c r="T230">
        <v>200</v>
      </c>
    </row>
    <row r="231" spans="1:20" x14ac:dyDescent="0.85">
      <c r="A231" s="429" t="s">
        <v>36</v>
      </c>
      <c r="B231" s="429" t="s">
        <v>211</v>
      </c>
      <c r="C231" s="430">
        <v>16.25</v>
      </c>
      <c r="D231" s="430"/>
      <c r="E231" s="430" t="s">
        <v>757</v>
      </c>
      <c r="F231" s="431">
        <v>2</v>
      </c>
      <c r="G231" s="431">
        <v>1200</v>
      </c>
      <c r="H231" s="431">
        <v>10000</v>
      </c>
      <c r="I231" s="431" t="s">
        <v>777</v>
      </c>
      <c r="J231" s="432" t="s">
        <v>210</v>
      </c>
      <c r="K231" s="432">
        <v>-30</v>
      </c>
      <c r="L231" s="432">
        <v>90</v>
      </c>
      <c r="M231" s="432" t="s">
        <v>577</v>
      </c>
      <c r="N231" s="432">
        <v>70</v>
      </c>
      <c r="O231" s="431" t="s">
        <v>168</v>
      </c>
      <c r="P231" s="431" t="s">
        <v>168</v>
      </c>
      <c r="Q231" s="430">
        <f>C231*((100-Discounts!$B$15)/100)</f>
        <v>6.5</v>
      </c>
      <c r="R231" t="str">
        <f>IF(ISNUMBER(Table3[[#This Row],[Thickness]]), "Zenith", "")</f>
        <v>Zenith</v>
      </c>
      <c r="S231">
        <v>4</v>
      </c>
      <c r="T231">
        <v>200</v>
      </c>
    </row>
    <row r="232" spans="1:20" x14ac:dyDescent="0.85">
      <c r="A232" s="433" t="s">
        <v>36</v>
      </c>
      <c r="B232" s="429" t="s">
        <v>211</v>
      </c>
      <c r="C232" s="434">
        <v>16.25</v>
      </c>
      <c r="D232" s="434"/>
      <c r="E232" s="430" t="s">
        <v>757</v>
      </c>
      <c r="F232" s="435">
        <v>2</v>
      </c>
      <c r="G232" s="435">
        <v>1400</v>
      </c>
      <c r="H232" s="435">
        <v>10000</v>
      </c>
      <c r="I232" s="431" t="s">
        <v>777</v>
      </c>
      <c r="J232" s="432" t="s">
        <v>210</v>
      </c>
      <c r="K232" s="432">
        <v>-30</v>
      </c>
      <c r="L232" s="432">
        <v>90</v>
      </c>
      <c r="M232" s="432" t="s">
        <v>577</v>
      </c>
      <c r="N232" s="432">
        <v>70</v>
      </c>
      <c r="O232" s="435" t="s">
        <v>168</v>
      </c>
      <c r="P232" s="435" t="s">
        <v>168</v>
      </c>
      <c r="Q232" s="434">
        <f>C232*((100-Discounts!$B$15)/100)</f>
        <v>6.5</v>
      </c>
      <c r="R232" t="str">
        <f>IF(ISNUMBER(Table3[[#This Row],[Thickness]]), "Zenith", "")</f>
        <v>Zenith</v>
      </c>
      <c r="S232">
        <v>4</v>
      </c>
      <c r="T232">
        <v>200</v>
      </c>
    </row>
    <row r="233" spans="1:20" x14ac:dyDescent="0.85">
      <c r="A233" s="429" t="s">
        <v>38</v>
      </c>
      <c r="B233" s="429" t="s">
        <v>211</v>
      </c>
      <c r="C233" s="430">
        <v>23</v>
      </c>
      <c r="D233" s="430"/>
      <c r="E233" s="430" t="s">
        <v>757</v>
      </c>
      <c r="F233" s="431">
        <v>3</v>
      </c>
      <c r="G233" s="431">
        <v>1200</v>
      </c>
      <c r="H233" s="431">
        <v>10000</v>
      </c>
      <c r="I233" s="431" t="s">
        <v>777</v>
      </c>
      <c r="J233" s="432" t="s">
        <v>210</v>
      </c>
      <c r="K233" s="432">
        <v>-30</v>
      </c>
      <c r="L233" s="432">
        <v>90</v>
      </c>
      <c r="M233" s="432" t="s">
        <v>577</v>
      </c>
      <c r="N233" s="432">
        <v>70</v>
      </c>
      <c r="O233" s="431" t="s">
        <v>168</v>
      </c>
      <c r="P233" s="431" t="s">
        <v>168</v>
      </c>
      <c r="Q233" s="430">
        <f>C233*((100-Discounts!$B$15)/100)</f>
        <v>9.2000000000000011</v>
      </c>
      <c r="R233" t="str">
        <f>IF(ISNUMBER(Table3[[#This Row],[Thickness]]), "Zenith", "")</f>
        <v>Zenith</v>
      </c>
      <c r="S233">
        <v>4</v>
      </c>
      <c r="T233">
        <v>200</v>
      </c>
    </row>
    <row r="234" spans="1:20" x14ac:dyDescent="0.85">
      <c r="A234" s="433" t="s">
        <v>38</v>
      </c>
      <c r="B234" s="429" t="s">
        <v>211</v>
      </c>
      <c r="C234" s="434">
        <v>23</v>
      </c>
      <c r="D234" s="434"/>
      <c r="E234" s="430" t="s">
        <v>757</v>
      </c>
      <c r="F234" s="435">
        <v>3</v>
      </c>
      <c r="G234" s="435">
        <v>1400</v>
      </c>
      <c r="H234" s="435">
        <v>10000</v>
      </c>
      <c r="I234" s="431" t="s">
        <v>777</v>
      </c>
      <c r="J234" s="432" t="s">
        <v>210</v>
      </c>
      <c r="K234" s="432">
        <v>-30</v>
      </c>
      <c r="L234" s="432">
        <v>90</v>
      </c>
      <c r="M234" s="432" t="s">
        <v>577</v>
      </c>
      <c r="N234" s="432">
        <v>70</v>
      </c>
      <c r="O234" s="435" t="s">
        <v>168</v>
      </c>
      <c r="P234" s="435" t="s">
        <v>168</v>
      </c>
      <c r="Q234" s="434">
        <f>C234*((100-Discounts!$B$15)/100)</f>
        <v>9.2000000000000011</v>
      </c>
      <c r="R234" t="str">
        <f>IF(ISNUMBER(Table3[[#This Row],[Thickness]]), "Zenith", "")</f>
        <v>Zenith</v>
      </c>
      <c r="S234">
        <v>4</v>
      </c>
      <c r="T234">
        <v>200</v>
      </c>
    </row>
    <row r="235" spans="1:20" x14ac:dyDescent="0.85">
      <c r="A235" s="429" t="s">
        <v>40</v>
      </c>
      <c r="B235" s="429" t="s">
        <v>211</v>
      </c>
      <c r="C235" s="430">
        <v>30.5</v>
      </c>
      <c r="D235" s="430"/>
      <c r="E235" s="430" t="s">
        <v>757</v>
      </c>
      <c r="F235" s="431">
        <v>4</v>
      </c>
      <c r="G235" s="431">
        <v>1200</v>
      </c>
      <c r="H235" s="431">
        <v>10000</v>
      </c>
      <c r="I235" s="431" t="s">
        <v>777</v>
      </c>
      <c r="J235" s="432" t="s">
        <v>210</v>
      </c>
      <c r="K235" s="432">
        <v>-30</v>
      </c>
      <c r="L235" s="432">
        <v>90</v>
      </c>
      <c r="M235" s="432" t="s">
        <v>577</v>
      </c>
      <c r="N235" s="432">
        <v>70</v>
      </c>
      <c r="O235" s="431" t="s">
        <v>168</v>
      </c>
      <c r="P235" s="431" t="s">
        <v>168</v>
      </c>
      <c r="Q235" s="430">
        <f>C235*((100-Discounts!$B$15)/100)</f>
        <v>12.200000000000001</v>
      </c>
      <c r="R235" t="str">
        <f>IF(ISNUMBER(Table3[[#This Row],[Thickness]]), "Zenith", "")</f>
        <v>Zenith</v>
      </c>
      <c r="S235">
        <v>4</v>
      </c>
      <c r="T235">
        <v>200</v>
      </c>
    </row>
    <row r="236" spans="1:20" x14ac:dyDescent="0.85">
      <c r="A236" s="433" t="s">
        <v>40</v>
      </c>
      <c r="B236" s="429" t="s">
        <v>211</v>
      </c>
      <c r="C236" s="434">
        <v>30.5</v>
      </c>
      <c r="D236" s="434"/>
      <c r="E236" s="430" t="s">
        <v>757</v>
      </c>
      <c r="F236" s="435">
        <v>4</v>
      </c>
      <c r="G236" s="435">
        <v>1400</v>
      </c>
      <c r="H236" s="435">
        <v>10000</v>
      </c>
      <c r="I236" s="431" t="s">
        <v>777</v>
      </c>
      <c r="J236" s="432" t="s">
        <v>210</v>
      </c>
      <c r="K236" s="432">
        <v>-30</v>
      </c>
      <c r="L236" s="432">
        <v>90</v>
      </c>
      <c r="M236" s="432" t="s">
        <v>577</v>
      </c>
      <c r="N236" s="432">
        <v>70</v>
      </c>
      <c r="O236" s="435" t="s">
        <v>168</v>
      </c>
      <c r="P236" s="435" t="s">
        <v>168</v>
      </c>
      <c r="Q236" s="434">
        <f>C236*((100-Discounts!$B$15)/100)</f>
        <v>12.200000000000001</v>
      </c>
      <c r="R236" t="str">
        <f>IF(ISNUMBER(Table3[[#This Row],[Thickness]]), "Zenith", "")</f>
        <v>Zenith</v>
      </c>
      <c r="S236">
        <v>4</v>
      </c>
      <c r="T236">
        <v>200</v>
      </c>
    </row>
    <row r="237" spans="1:20" x14ac:dyDescent="0.85">
      <c r="A237" s="429" t="s">
        <v>42</v>
      </c>
      <c r="B237" s="429" t="s">
        <v>211</v>
      </c>
      <c r="C237" s="430">
        <v>38</v>
      </c>
      <c r="D237" s="430"/>
      <c r="E237" s="430" t="s">
        <v>757</v>
      </c>
      <c r="F237" s="431">
        <v>5</v>
      </c>
      <c r="G237" s="431">
        <v>1200</v>
      </c>
      <c r="H237" s="431">
        <v>10000</v>
      </c>
      <c r="I237" s="431" t="s">
        <v>777</v>
      </c>
      <c r="J237" s="432" t="s">
        <v>210</v>
      </c>
      <c r="K237" s="432">
        <v>-30</v>
      </c>
      <c r="L237" s="432">
        <v>90</v>
      </c>
      <c r="M237" s="432" t="s">
        <v>577</v>
      </c>
      <c r="N237" s="432">
        <v>70</v>
      </c>
      <c r="O237" s="431" t="s">
        <v>168</v>
      </c>
      <c r="P237" s="431" t="s">
        <v>168</v>
      </c>
      <c r="Q237" s="430">
        <f>C237*((100-Discounts!$B$15)/100)</f>
        <v>15.200000000000001</v>
      </c>
      <c r="R237" t="str">
        <f>IF(ISNUMBER(Table3[[#This Row],[Thickness]]), "Zenith", "")</f>
        <v>Zenith</v>
      </c>
      <c r="S237">
        <v>4</v>
      </c>
      <c r="T237">
        <v>200</v>
      </c>
    </row>
    <row r="238" spans="1:20" x14ac:dyDescent="0.85">
      <c r="A238" s="433" t="s">
        <v>42</v>
      </c>
      <c r="B238" s="429" t="s">
        <v>211</v>
      </c>
      <c r="C238" s="434">
        <v>38</v>
      </c>
      <c r="D238" s="434"/>
      <c r="E238" s="430" t="s">
        <v>757</v>
      </c>
      <c r="F238" s="435">
        <v>5</v>
      </c>
      <c r="G238" s="435">
        <v>1400</v>
      </c>
      <c r="H238" s="435">
        <v>10000</v>
      </c>
      <c r="I238" s="431" t="s">
        <v>777</v>
      </c>
      <c r="J238" s="432" t="s">
        <v>210</v>
      </c>
      <c r="K238" s="432">
        <v>-30</v>
      </c>
      <c r="L238" s="432">
        <v>90</v>
      </c>
      <c r="M238" s="432" t="s">
        <v>577</v>
      </c>
      <c r="N238" s="432">
        <v>70</v>
      </c>
      <c r="O238" s="435" t="s">
        <v>168</v>
      </c>
      <c r="P238" s="435" t="s">
        <v>168</v>
      </c>
      <c r="Q238" s="434">
        <f>C238*((100-Discounts!$B$15)/100)</f>
        <v>15.200000000000001</v>
      </c>
      <c r="R238" t="str">
        <f>IF(ISNUMBER(Table3[[#This Row],[Thickness]]), "Zenith", "")</f>
        <v>Zenith</v>
      </c>
      <c r="S238">
        <v>4</v>
      </c>
      <c r="T238">
        <v>200</v>
      </c>
    </row>
    <row r="239" spans="1:20" x14ac:dyDescent="0.85">
      <c r="A239" s="429" t="s">
        <v>44</v>
      </c>
      <c r="B239" s="429" t="s">
        <v>211</v>
      </c>
      <c r="C239" s="430">
        <v>44.5</v>
      </c>
      <c r="D239" s="430"/>
      <c r="E239" s="430" t="s">
        <v>757</v>
      </c>
      <c r="F239" s="431">
        <v>6</v>
      </c>
      <c r="G239" s="431">
        <v>1200</v>
      </c>
      <c r="H239" s="431">
        <v>10000</v>
      </c>
      <c r="I239" s="431" t="s">
        <v>777</v>
      </c>
      <c r="J239" s="432" t="s">
        <v>210</v>
      </c>
      <c r="K239" s="432">
        <v>-30</v>
      </c>
      <c r="L239" s="432">
        <v>90</v>
      </c>
      <c r="M239" s="432" t="s">
        <v>577</v>
      </c>
      <c r="N239" s="432">
        <v>70</v>
      </c>
      <c r="O239" s="431" t="s">
        <v>168</v>
      </c>
      <c r="P239" s="431" t="s">
        <v>168</v>
      </c>
      <c r="Q239" s="430">
        <f>C239*((100-Discounts!$B$15)/100)</f>
        <v>17.8</v>
      </c>
      <c r="R239" t="str">
        <f>IF(ISNUMBER(Table3[[#This Row],[Thickness]]), "Zenith", "")</f>
        <v>Zenith</v>
      </c>
      <c r="S239">
        <v>4</v>
      </c>
      <c r="T239">
        <v>200</v>
      </c>
    </row>
    <row r="240" spans="1:20" x14ac:dyDescent="0.85">
      <c r="A240" s="433" t="s">
        <v>44</v>
      </c>
      <c r="B240" s="429" t="s">
        <v>211</v>
      </c>
      <c r="C240" s="434">
        <v>44.5</v>
      </c>
      <c r="D240" s="434"/>
      <c r="E240" s="430" t="s">
        <v>757</v>
      </c>
      <c r="F240" s="435">
        <v>6</v>
      </c>
      <c r="G240" s="435">
        <v>1400</v>
      </c>
      <c r="H240" s="435">
        <v>10000</v>
      </c>
      <c r="I240" s="431" t="s">
        <v>777</v>
      </c>
      <c r="J240" s="432" t="s">
        <v>210</v>
      </c>
      <c r="K240" s="432">
        <v>-30</v>
      </c>
      <c r="L240" s="432">
        <v>90</v>
      </c>
      <c r="M240" s="432" t="s">
        <v>577</v>
      </c>
      <c r="N240" s="432">
        <v>70</v>
      </c>
      <c r="O240" s="435" t="s">
        <v>168</v>
      </c>
      <c r="P240" s="435" t="s">
        <v>168</v>
      </c>
      <c r="Q240" s="434">
        <f>C240*((100-Discounts!$B$15)/100)</f>
        <v>17.8</v>
      </c>
      <c r="R240" t="str">
        <f>IF(ISNUMBER(Table3[[#This Row],[Thickness]]), "Zenith", "")</f>
        <v>Zenith</v>
      </c>
      <c r="S240">
        <v>4</v>
      </c>
      <c r="T240">
        <v>200</v>
      </c>
    </row>
    <row r="241" spans="1:20" x14ac:dyDescent="0.85">
      <c r="A241" s="429" t="s">
        <v>45</v>
      </c>
      <c r="B241" s="429" t="s">
        <v>211</v>
      </c>
      <c r="C241" s="430">
        <v>58.25</v>
      </c>
      <c r="D241" s="430"/>
      <c r="E241" s="430" t="s">
        <v>757</v>
      </c>
      <c r="F241" s="431">
        <v>8</v>
      </c>
      <c r="G241" s="431">
        <v>1200</v>
      </c>
      <c r="H241" s="431">
        <v>10000</v>
      </c>
      <c r="I241" s="431" t="s">
        <v>777</v>
      </c>
      <c r="J241" s="432" t="s">
        <v>210</v>
      </c>
      <c r="K241" s="432">
        <v>-30</v>
      </c>
      <c r="L241" s="432">
        <v>90</v>
      </c>
      <c r="M241" s="432" t="s">
        <v>577</v>
      </c>
      <c r="N241" s="432">
        <v>70</v>
      </c>
      <c r="O241" s="431" t="s">
        <v>168</v>
      </c>
      <c r="P241" s="431" t="s">
        <v>168</v>
      </c>
      <c r="Q241" s="430">
        <f>C241*((100-Discounts!$B$15)/100)</f>
        <v>23.3</v>
      </c>
      <c r="R241" t="str">
        <f>IF(ISNUMBER(Table3[[#This Row],[Thickness]]), "Zenith", "")</f>
        <v>Zenith</v>
      </c>
      <c r="S241">
        <v>4</v>
      </c>
      <c r="T241">
        <v>200</v>
      </c>
    </row>
    <row r="242" spans="1:20" x14ac:dyDescent="0.85">
      <c r="A242" s="433" t="s">
        <v>45</v>
      </c>
      <c r="B242" s="429" t="s">
        <v>211</v>
      </c>
      <c r="C242" s="434">
        <v>58.25</v>
      </c>
      <c r="D242" s="434"/>
      <c r="E242" s="430" t="s">
        <v>757</v>
      </c>
      <c r="F242" s="435">
        <v>8</v>
      </c>
      <c r="G242" s="435">
        <v>1400</v>
      </c>
      <c r="H242" s="435">
        <v>10000</v>
      </c>
      <c r="I242" s="431" t="s">
        <v>777</v>
      </c>
      <c r="J242" s="432" t="s">
        <v>210</v>
      </c>
      <c r="K242" s="432">
        <v>-30</v>
      </c>
      <c r="L242" s="432">
        <v>90</v>
      </c>
      <c r="M242" s="432" t="s">
        <v>577</v>
      </c>
      <c r="N242" s="432">
        <v>70</v>
      </c>
      <c r="O242" s="435" t="s">
        <v>168</v>
      </c>
      <c r="P242" s="435" t="s">
        <v>168</v>
      </c>
      <c r="Q242" s="434">
        <f>C242*((100-Discounts!$B$15)/100)</f>
        <v>23.3</v>
      </c>
      <c r="R242" t="str">
        <f>IF(ISNUMBER(Table3[[#This Row],[Thickness]]), "Zenith", "")</f>
        <v>Zenith</v>
      </c>
      <c r="S242">
        <v>4</v>
      </c>
      <c r="T242">
        <v>200</v>
      </c>
    </row>
    <row r="243" spans="1:20" x14ac:dyDescent="0.85">
      <c r="A243" s="429" t="s">
        <v>45</v>
      </c>
      <c r="B243" s="429" t="s">
        <v>211</v>
      </c>
      <c r="C243" s="430">
        <v>58.25</v>
      </c>
      <c r="D243" s="430"/>
      <c r="E243" s="430" t="s">
        <v>757</v>
      </c>
      <c r="F243" s="431">
        <v>8</v>
      </c>
      <c r="G243" s="431">
        <v>1400</v>
      </c>
      <c r="H243" s="431">
        <v>5000</v>
      </c>
      <c r="I243" s="431" t="s">
        <v>777</v>
      </c>
      <c r="J243" s="432" t="s">
        <v>210</v>
      </c>
      <c r="K243" s="432">
        <v>-30</v>
      </c>
      <c r="L243" s="432">
        <v>90</v>
      </c>
      <c r="M243" s="432" t="s">
        <v>577</v>
      </c>
      <c r="N243" s="432">
        <v>70</v>
      </c>
      <c r="O243" s="431" t="s">
        <v>168</v>
      </c>
      <c r="P243" s="431" t="s">
        <v>168</v>
      </c>
      <c r="Q243" s="430">
        <f>C243*((100-Discounts!$B$15)/100)</f>
        <v>23.3</v>
      </c>
      <c r="R243" t="str">
        <f>IF(ISNUMBER(Table3[[#This Row],[Thickness]]), "Zenith", "")</f>
        <v>Zenith</v>
      </c>
      <c r="S243">
        <v>4</v>
      </c>
      <c r="T243">
        <v>200</v>
      </c>
    </row>
    <row r="244" spans="1:20" x14ac:dyDescent="0.85">
      <c r="A244" s="433" t="s">
        <v>46</v>
      </c>
      <c r="B244" s="429" t="s">
        <v>211</v>
      </c>
      <c r="C244" s="434">
        <v>71.25</v>
      </c>
      <c r="D244" s="434"/>
      <c r="E244" s="430" t="s">
        <v>757</v>
      </c>
      <c r="F244" s="435">
        <v>10</v>
      </c>
      <c r="G244" s="435">
        <v>1000</v>
      </c>
      <c r="H244" s="435">
        <v>5000</v>
      </c>
      <c r="I244" s="431" t="s">
        <v>777</v>
      </c>
      <c r="J244" s="432" t="s">
        <v>210</v>
      </c>
      <c r="K244" s="432">
        <v>-30</v>
      </c>
      <c r="L244" s="432">
        <v>90</v>
      </c>
      <c r="M244" s="432" t="s">
        <v>577</v>
      </c>
      <c r="N244" s="432">
        <v>70</v>
      </c>
      <c r="O244" s="435" t="s">
        <v>168</v>
      </c>
      <c r="P244" s="435" t="s">
        <v>168</v>
      </c>
      <c r="Q244" s="434">
        <f>C244*((100-Discounts!$B$15)/100)</f>
        <v>28.5</v>
      </c>
      <c r="R244" t="str">
        <f>IF(ISNUMBER(Table3[[#This Row],[Thickness]]), "Zenith", "")</f>
        <v>Zenith</v>
      </c>
      <c r="S244">
        <v>4</v>
      </c>
      <c r="T244">
        <v>200</v>
      </c>
    </row>
    <row r="245" spans="1:20" x14ac:dyDescent="0.85">
      <c r="A245" s="429" t="s">
        <v>46</v>
      </c>
      <c r="B245" s="429" t="s">
        <v>211</v>
      </c>
      <c r="C245" s="430">
        <v>71.25</v>
      </c>
      <c r="D245" s="430"/>
      <c r="E245" s="430" t="s">
        <v>757</v>
      </c>
      <c r="F245" s="431">
        <v>10</v>
      </c>
      <c r="G245" s="431">
        <v>1200</v>
      </c>
      <c r="H245" s="431">
        <v>10000</v>
      </c>
      <c r="I245" s="431" t="s">
        <v>777</v>
      </c>
      <c r="J245" s="432" t="s">
        <v>210</v>
      </c>
      <c r="K245" s="432">
        <v>-30</v>
      </c>
      <c r="L245" s="432">
        <v>90</v>
      </c>
      <c r="M245" s="432" t="s">
        <v>577</v>
      </c>
      <c r="N245" s="432">
        <v>70</v>
      </c>
      <c r="O245" s="431" t="s">
        <v>168</v>
      </c>
      <c r="P245" s="431" t="s">
        <v>168</v>
      </c>
      <c r="Q245" s="430">
        <f>C245*((100-Discounts!$B$15)/100)</f>
        <v>28.5</v>
      </c>
      <c r="R245" t="str">
        <f>IF(ISNUMBER(Table3[[#This Row],[Thickness]]), "Zenith", "")</f>
        <v>Zenith</v>
      </c>
      <c r="S245">
        <v>4</v>
      </c>
      <c r="T245">
        <v>200</v>
      </c>
    </row>
    <row r="246" spans="1:20" x14ac:dyDescent="0.85">
      <c r="A246" s="433" t="s">
        <v>46</v>
      </c>
      <c r="B246" s="429" t="s">
        <v>211</v>
      </c>
      <c r="C246" s="434">
        <v>71.25</v>
      </c>
      <c r="D246" s="434"/>
      <c r="E246" s="430" t="s">
        <v>757</v>
      </c>
      <c r="F246" s="435">
        <v>10</v>
      </c>
      <c r="G246" s="435">
        <v>1400</v>
      </c>
      <c r="H246" s="435">
        <v>5000</v>
      </c>
      <c r="I246" s="431" t="s">
        <v>777</v>
      </c>
      <c r="J246" s="432" t="s">
        <v>210</v>
      </c>
      <c r="K246" s="432">
        <v>-30</v>
      </c>
      <c r="L246" s="432">
        <v>90</v>
      </c>
      <c r="M246" s="432" t="s">
        <v>577</v>
      </c>
      <c r="N246" s="432">
        <v>70</v>
      </c>
      <c r="O246" s="435" t="s">
        <v>168</v>
      </c>
      <c r="P246" s="435" t="s">
        <v>168</v>
      </c>
      <c r="Q246" s="434">
        <f>C246*((100-Discounts!$B$15)/100)</f>
        <v>28.5</v>
      </c>
      <c r="R246" t="str">
        <f>IF(ISNUMBER(Table3[[#This Row],[Thickness]]), "Zenith", "")</f>
        <v>Zenith</v>
      </c>
      <c r="S246">
        <v>4</v>
      </c>
      <c r="T246">
        <v>200</v>
      </c>
    </row>
    <row r="247" spans="1:20" x14ac:dyDescent="0.85">
      <c r="A247" s="429" t="s">
        <v>46</v>
      </c>
      <c r="B247" s="429" t="s">
        <v>211</v>
      </c>
      <c r="C247" s="430">
        <v>71.25</v>
      </c>
      <c r="D247" s="430"/>
      <c r="E247" s="430" t="s">
        <v>757</v>
      </c>
      <c r="F247" s="431">
        <v>10</v>
      </c>
      <c r="G247" s="431">
        <v>1400</v>
      </c>
      <c r="H247" s="431">
        <v>10000</v>
      </c>
      <c r="I247" s="431" t="s">
        <v>777</v>
      </c>
      <c r="J247" s="432" t="s">
        <v>210</v>
      </c>
      <c r="K247" s="432">
        <v>-30</v>
      </c>
      <c r="L247" s="432">
        <v>90</v>
      </c>
      <c r="M247" s="432" t="s">
        <v>577</v>
      </c>
      <c r="N247" s="432">
        <v>70</v>
      </c>
      <c r="O247" s="431" t="s">
        <v>168</v>
      </c>
      <c r="P247" s="431" t="s">
        <v>168</v>
      </c>
      <c r="Q247" s="430">
        <f>C247*((100-Discounts!$B$15)/100)</f>
        <v>28.5</v>
      </c>
      <c r="R247" t="str">
        <f>IF(ISNUMBER(Table3[[#This Row],[Thickness]]), "Zenith", "")</f>
        <v>Zenith</v>
      </c>
      <c r="S247">
        <v>4</v>
      </c>
      <c r="T247">
        <v>200</v>
      </c>
    </row>
    <row r="248" spans="1:20" x14ac:dyDescent="0.85">
      <c r="A248" s="433" t="s">
        <v>46</v>
      </c>
      <c r="B248" s="429" t="s">
        <v>211</v>
      </c>
      <c r="C248" s="434">
        <v>71.25</v>
      </c>
      <c r="D248" s="434"/>
      <c r="E248" s="430" t="s">
        <v>757</v>
      </c>
      <c r="F248" s="435">
        <v>10</v>
      </c>
      <c r="G248" s="435">
        <v>1500</v>
      </c>
      <c r="H248" s="435">
        <v>5000</v>
      </c>
      <c r="I248" s="431" t="s">
        <v>777</v>
      </c>
      <c r="J248" s="432" t="s">
        <v>210</v>
      </c>
      <c r="K248" s="432">
        <v>-30</v>
      </c>
      <c r="L248" s="432">
        <v>90</v>
      </c>
      <c r="M248" s="432" t="s">
        <v>577</v>
      </c>
      <c r="N248" s="432">
        <v>70</v>
      </c>
      <c r="O248" s="435" t="s">
        <v>168</v>
      </c>
      <c r="P248" s="435" t="s">
        <v>168</v>
      </c>
      <c r="Q248" s="434">
        <f>C248*((100-Discounts!$B$15)/100)</f>
        <v>28.5</v>
      </c>
      <c r="R248" t="str">
        <f>IF(ISNUMBER(Table3[[#This Row],[Thickness]]), "Zenith", "")</f>
        <v>Zenith</v>
      </c>
      <c r="S248">
        <v>4</v>
      </c>
      <c r="T248">
        <v>200</v>
      </c>
    </row>
    <row r="249" spans="1:20" x14ac:dyDescent="0.85">
      <c r="A249" s="429" t="s">
        <v>46</v>
      </c>
      <c r="B249" s="429" t="s">
        <v>211</v>
      </c>
      <c r="C249" s="430">
        <v>71.25</v>
      </c>
      <c r="D249" s="430"/>
      <c r="E249" s="430" t="s">
        <v>757</v>
      </c>
      <c r="F249" s="431">
        <v>10</v>
      </c>
      <c r="G249" s="431">
        <v>1500</v>
      </c>
      <c r="H249" s="431">
        <v>10000</v>
      </c>
      <c r="I249" s="431" t="s">
        <v>777</v>
      </c>
      <c r="J249" s="432" t="s">
        <v>210</v>
      </c>
      <c r="K249" s="432">
        <v>-30</v>
      </c>
      <c r="L249" s="432">
        <v>90</v>
      </c>
      <c r="M249" s="432" t="s">
        <v>577</v>
      </c>
      <c r="N249" s="432">
        <v>70</v>
      </c>
      <c r="O249" s="431" t="s">
        <v>168</v>
      </c>
      <c r="P249" s="431" t="s">
        <v>168</v>
      </c>
      <c r="Q249" s="430">
        <f>C249*((100-Discounts!$B$15)/100)</f>
        <v>28.5</v>
      </c>
      <c r="R249" t="str">
        <f>IF(ISNUMBER(Table3[[#This Row],[Thickness]]), "Zenith", "")</f>
        <v>Zenith</v>
      </c>
      <c r="S249">
        <v>4</v>
      </c>
      <c r="T249">
        <v>200</v>
      </c>
    </row>
    <row r="250" spans="1:20" x14ac:dyDescent="0.85">
      <c r="A250" s="433" t="s">
        <v>46</v>
      </c>
      <c r="B250" s="429" t="s">
        <v>211</v>
      </c>
      <c r="C250" s="434">
        <v>71.25</v>
      </c>
      <c r="D250" s="434"/>
      <c r="E250" s="430" t="s">
        <v>757</v>
      </c>
      <c r="F250" s="435">
        <v>10</v>
      </c>
      <c r="G250" s="435">
        <v>1800</v>
      </c>
      <c r="H250" s="435">
        <v>5000</v>
      </c>
      <c r="I250" s="431" t="s">
        <v>777</v>
      </c>
      <c r="J250" s="432" t="s">
        <v>210</v>
      </c>
      <c r="K250" s="432">
        <v>-30</v>
      </c>
      <c r="L250" s="432">
        <v>90</v>
      </c>
      <c r="M250" s="432" t="s">
        <v>577</v>
      </c>
      <c r="N250" s="432">
        <v>70</v>
      </c>
      <c r="O250" s="435" t="s">
        <v>168</v>
      </c>
      <c r="P250" s="435" t="s">
        <v>168</v>
      </c>
      <c r="Q250" s="434">
        <f>C250*((100-Discounts!$B$15)/100)</f>
        <v>28.5</v>
      </c>
      <c r="R250" t="str">
        <f>IF(ISNUMBER(Table3[[#This Row],[Thickness]]), "Zenith", "")</f>
        <v>Zenith</v>
      </c>
      <c r="S250">
        <v>4</v>
      </c>
      <c r="T250">
        <v>200</v>
      </c>
    </row>
    <row r="251" spans="1:20" x14ac:dyDescent="0.85">
      <c r="A251" s="429" t="s">
        <v>47</v>
      </c>
      <c r="B251" s="429" t="s">
        <v>211</v>
      </c>
      <c r="C251" s="430">
        <v>84</v>
      </c>
      <c r="D251" s="430"/>
      <c r="E251" s="430" t="s">
        <v>757</v>
      </c>
      <c r="F251" s="431">
        <v>12</v>
      </c>
      <c r="G251" s="431">
        <v>1400</v>
      </c>
      <c r="H251" s="431">
        <v>5000</v>
      </c>
      <c r="I251" s="431" t="s">
        <v>777</v>
      </c>
      <c r="J251" s="432" t="s">
        <v>210</v>
      </c>
      <c r="K251" s="432">
        <v>-30</v>
      </c>
      <c r="L251" s="432">
        <v>90</v>
      </c>
      <c r="M251" s="432" t="s">
        <v>577</v>
      </c>
      <c r="N251" s="432">
        <v>70</v>
      </c>
      <c r="O251" s="431" t="s">
        <v>168</v>
      </c>
      <c r="P251" s="431" t="s">
        <v>168</v>
      </c>
      <c r="Q251" s="430">
        <f>C251*((100-Discounts!$B$15)/100)</f>
        <v>33.6</v>
      </c>
      <c r="R251" t="str">
        <f>IF(ISNUMBER(Table3[[#This Row],[Thickness]]), "Zenith", "")</f>
        <v>Zenith</v>
      </c>
      <c r="S251">
        <v>4</v>
      </c>
      <c r="T251">
        <v>200</v>
      </c>
    </row>
    <row r="252" spans="1:20" x14ac:dyDescent="0.85">
      <c r="A252" s="433" t="s">
        <v>48</v>
      </c>
      <c r="B252" s="429" t="s">
        <v>211</v>
      </c>
      <c r="C252" s="434">
        <v>104</v>
      </c>
      <c r="D252" s="434"/>
      <c r="E252" s="430" t="s">
        <v>757</v>
      </c>
      <c r="F252" s="435">
        <v>15</v>
      </c>
      <c r="G252" s="435">
        <v>1400</v>
      </c>
      <c r="H252" s="435">
        <v>5000</v>
      </c>
      <c r="I252" s="431" t="s">
        <v>777</v>
      </c>
      <c r="J252" s="432" t="s">
        <v>210</v>
      </c>
      <c r="K252" s="432">
        <v>-30</v>
      </c>
      <c r="L252" s="432">
        <v>90</v>
      </c>
      <c r="M252" s="432" t="s">
        <v>577</v>
      </c>
      <c r="N252" s="432">
        <v>70</v>
      </c>
      <c r="O252" s="435" t="s">
        <v>168</v>
      </c>
      <c r="P252" s="435" t="s">
        <v>168</v>
      </c>
      <c r="Q252" s="434">
        <f>C252*((100-Discounts!$B$15)/100)</f>
        <v>41.6</v>
      </c>
      <c r="R252" t="str">
        <f>IF(ISNUMBER(Table3[[#This Row],[Thickness]]), "Zenith", "")</f>
        <v>Zenith</v>
      </c>
      <c r="S252">
        <v>4</v>
      </c>
      <c r="T252">
        <v>200</v>
      </c>
    </row>
    <row r="253" spans="1:20" x14ac:dyDescent="0.85">
      <c r="A253" s="429" t="s">
        <v>49</v>
      </c>
      <c r="B253" s="429" t="s">
        <v>211</v>
      </c>
      <c r="C253" s="430">
        <v>137.25</v>
      </c>
      <c r="D253" s="430"/>
      <c r="E253" s="430" t="s">
        <v>757</v>
      </c>
      <c r="F253" s="431">
        <v>20</v>
      </c>
      <c r="G253" s="431">
        <v>1400</v>
      </c>
      <c r="H253" s="431">
        <v>5000</v>
      </c>
      <c r="I253" s="431" t="s">
        <v>777</v>
      </c>
      <c r="J253" s="432" t="s">
        <v>210</v>
      </c>
      <c r="K253" s="432">
        <v>-30</v>
      </c>
      <c r="L253" s="432">
        <v>90</v>
      </c>
      <c r="M253" s="432" t="s">
        <v>577</v>
      </c>
      <c r="N253" s="432">
        <v>70</v>
      </c>
      <c r="O253" s="431" t="s">
        <v>168</v>
      </c>
      <c r="P253" s="431" t="s">
        <v>168</v>
      </c>
      <c r="Q253" s="430">
        <f>C253*((100-Discounts!$B$15)/100)</f>
        <v>54.900000000000006</v>
      </c>
      <c r="R253" t="str">
        <f>IF(ISNUMBER(Table3[[#This Row],[Thickness]]), "Zenith", "")</f>
        <v>Zenith</v>
      </c>
      <c r="S253">
        <v>4</v>
      </c>
      <c r="T253">
        <v>200</v>
      </c>
    </row>
    <row r="254" spans="1:20" x14ac:dyDescent="0.85">
      <c r="A254" s="433" t="s">
        <v>317</v>
      </c>
      <c r="B254" s="429" t="s">
        <v>211</v>
      </c>
      <c r="C254" s="434">
        <v>171.75</v>
      </c>
      <c r="D254" s="434"/>
      <c r="E254" s="430" t="s">
        <v>757</v>
      </c>
      <c r="F254" s="435">
        <v>25</v>
      </c>
      <c r="G254" s="435">
        <v>1400</v>
      </c>
      <c r="H254" s="435">
        <v>5000</v>
      </c>
      <c r="I254" s="431" t="s">
        <v>777</v>
      </c>
      <c r="J254" s="432" t="s">
        <v>210</v>
      </c>
      <c r="K254" s="432">
        <v>-30</v>
      </c>
      <c r="L254" s="432">
        <v>90</v>
      </c>
      <c r="M254" s="432" t="s">
        <v>577</v>
      </c>
      <c r="N254" s="432">
        <v>70</v>
      </c>
      <c r="O254" s="435" t="s">
        <v>168</v>
      </c>
      <c r="P254" s="435" t="s">
        <v>168</v>
      </c>
      <c r="Q254" s="434">
        <f>C254*((100-Discounts!$B$15)/100)</f>
        <v>68.7</v>
      </c>
      <c r="R254" t="str">
        <f>IF(ISNUMBER(Table3[[#This Row],[Thickness]]), "Zenith", "")</f>
        <v>Zenith</v>
      </c>
      <c r="S254">
        <v>4</v>
      </c>
      <c r="T254">
        <v>200</v>
      </c>
    </row>
    <row r="255" spans="1:20" ht="27" thickBot="1" x14ac:dyDescent="0.9">
      <c r="A255" s="365"/>
      <c r="B255" s="366"/>
      <c r="C255" s="367"/>
      <c r="D255" s="367"/>
      <c r="E255" s="367"/>
      <c r="F255" s="368" t="s">
        <v>372</v>
      </c>
      <c r="G255" s="368">
        <v>0</v>
      </c>
      <c r="H255" s="327">
        <v>0</v>
      </c>
      <c r="I255" s="217" t="s">
        <v>777</v>
      </c>
      <c r="J255" t="s">
        <v>210</v>
      </c>
      <c r="M255" s="352"/>
      <c r="N255" s="349"/>
      <c r="O255" s="327"/>
      <c r="P255" s="327"/>
      <c r="Q255" s="369" t="s">
        <v>323</v>
      </c>
      <c r="R255" t="str">
        <f>IF(ISNUMBER(Table3[[#This Row],[Thickness]]), "Zenith", "")</f>
        <v/>
      </c>
    </row>
    <row r="256" spans="1:20" ht="54" thickTop="1" thickBot="1" x14ac:dyDescent="0.9">
      <c r="A256" s="129" t="s">
        <v>322</v>
      </c>
      <c r="B256" s="298"/>
      <c r="C256" s="249" t="s">
        <v>179</v>
      </c>
      <c r="D256" s="313"/>
      <c r="E256" s="313"/>
      <c r="F256" s="247" t="s">
        <v>320</v>
      </c>
      <c r="G256" s="247" t="e">
        <v>#VALUE!</v>
      </c>
      <c r="H256" s="248" t="e">
        <v>#VALUE!</v>
      </c>
      <c r="I256" s="217" t="s">
        <v>777</v>
      </c>
      <c r="J256" t="s">
        <v>210</v>
      </c>
      <c r="M256" s="231"/>
      <c r="N256" s="233"/>
      <c r="O256" s="248" t="s">
        <v>171</v>
      </c>
      <c r="P256" s="248" t="s">
        <v>325</v>
      </c>
      <c r="Q256" s="248" t="s">
        <v>199</v>
      </c>
      <c r="R256" t="str">
        <f>IF(ISNUMBER(Table3[[#This Row],[Thickness]]), "Zenith", "")</f>
        <v/>
      </c>
    </row>
    <row r="257" spans="1:20" ht="27" thickTop="1" x14ac:dyDescent="0.85">
      <c r="A257" s="429" t="s">
        <v>183</v>
      </c>
      <c r="B257" s="429" t="s">
        <v>762</v>
      </c>
      <c r="C257" s="430">
        <v>19.25</v>
      </c>
      <c r="D257" s="430"/>
      <c r="E257" s="430" t="s">
        <v>757</v>
      </c>
      <c r="F257" s="431">
        <v>1.5</v>
      </c>
      <c r="G257" s="431">
        <v>1400</v>
      </c>
      <c r="H257" s="431">
        <v>10000</v>
      </c>
      <c r="I257" s="431" t="s">
        <v>777</v>
      </c>
      <c r="J257" s="432" t="s">
        <v>210</v>
      </c>
      <c r="K257" s="432">
        <v>-30</v>
      </c>
      <c r="L257" s="432">
        <v>90</v>
      </c>
      <c r="M257" s="432" t="s">
        <v>577</v>
      </c>
      <c r="N257" s="432">
        <v>70</v>
      </c>
      <c r="O257" s="431">
        <v>1</v>
      </c>
      <c r="P257" s="431" t="s">
        <v>178</v>
      </c>
      <c r="Q257" s="430">
        <f>C257*((100-Discounts!$B$15)/100)</f>
        <v>7.7</v>
      </c>
      <c r="R257" t="str">
        <f>IF(ISNUMBER(Table3[[#This Row],[Thickness]]), "Zenith", "")</f>
        <v>Zenith</v>
      </c>
      <c r="S257">
        <v>4</v>
      </c>
      <c r="T257">
        <v>200</v>
      </c>
    </row>
    <row r="258" spans="1:20" x14ac:dyDescent="0.85">
      <c r="A258" s="433" t="s">
        <v>183</v>
      </c>
      <c r="B258" s="429" t="s">
        <v>762</v>
      </c>
      <c r="C258" s="434">
        <v>19.25</v>
      </c>
      <c r="D258" s="434"/>
      <c r="E258" s="430" t="s">
        <v>757</v>
      </c>
      <c r="F258" s="435">
        <v>1.5</v>
      </c>
      <c r="G258" s="435">
        <v>1400</v>
      </c>
      <c r="H258" s="435">
        <v>15000</v>
      </c>
      <c r="I258" s="431" t="s">
        <v>777</v>
      </c>
      <c r="J258" s="432" t="s">
        <v>210</v>
      </c>
      <c r="K258" s="432">
        <v>-30</v>
      </c>
      <c r="L258" s="432">
        <v>90</v>
      </c>
      <c r="M258" s="432" t="s">
        <v>577</v>
      </c>
      <c r="N258" s="432">
        <v>70</v>
      </c>
      <c r="O258" s="435">
        <v>1</v>
      </c>
      <c r="P258" s="435" t="s">
        <v>178</v>
      </c>
      <c r="Q258" s="434">
        <f>C258*((100-Discounts!$B$15)/100)</f>
        <v>7.7</v>
      </c>
      <c r="R258" t="str">
        <f>IF(ISNUMBER(Table3[[#This Row],[Thickness]]), "Zenith", "")</f>
        <v>Zenith</v>
      </c>
      <c r="S258">
        <v>4</v>
      </c>
      <c r="T258">
        <v>200</v>
      </c>
    </row>
    <row r="259" spans="1:20" x14ac:dyDescent="0.85">
      <c r="A259" s="429" t="s">
        <v>37</v>
      </c>
      <c r="B259" s="429" t="s">
        <v>762</v>
      </c>
      <c r="C259" s="430">
        <v>22.25</v>
      </c>
      <c r="D259" s="430"/>
      <c r="E259" s="430" t="s">
        <v>757</v>
      </c>
      <c r="F259" s="431">
        <v>2</v>
      </c>
      <c r="G259" s="431">
        <v>1200</v>
      </c>
      <c r="H259" s="431">
        <v>10000</v>
      </c>
      <c r="I259" s="431" t="s">
        <v>777</v>
      </c>
      <c r="J259" s="432" t="s">
        <v>210</v>
      </c>
      <c r="K259" s="432">
        <v>-30</v>
      </c>
      <c r="L259" s="432">
        <v>90</v>
      </c>
      <c r="M259" s="432" t="s">
        <v>577</v>
      </c>
      <c r="N259" s="432">
        <v>70</v>
      </c>
      <c r="O259" s="431">
        <v>1</v>
      </c>
      <c r="P259" s="431" t="s">
        <v>178</v>
      </c>
      <c r="Q259" s="430">
        <f>C259*((100-Discounts!$B$15)/100)</f>
        <v>8.9</v>
      </c>
      <c r="R259" t="str">
        <f>IF(ISNUMBER(Table3[[#This Row],[Thickness]]), "Zenith", "")</f>
        <v>Zenith</v>
      </c>
      <c r="S259">
        <v>4</v>
      </c>
      <c r="T259">
        <v>200</v>
      </c>
    </row>
    <row r="260" spans="1:20" x14ac:dyDescent="0.85">
      <c r="A260" s="433" t="s">
        <v>37</v>
      </c>
      <c r="B260" s="429" t="s">
        <v>762</v>
      </c>
      <c r="C260" s="434">
        <v>22.25</v>
      </c>
      <c r="D260" s="434"/>
      <c r="E260" s="430" t="s">
        <v>757</v>
      </c>
      <c r="F260" s="435">
        <v>2</v>
      </c>
      <c r="G260" s="435">
        <v>1400</v>
      </c>
      <c r="H260" s="435">
        <v>10000</v>
      </c>
      <c r="I260" s="431" t="s">
        <v>777</v>
      </c>
      <c r="J260" s="432" t="s">
        <v>210</v>
      </c>
      <c r="K260" s="432">
        <v>-30</v>
      </c>
      <c r="L260" s="432">
        <v>90</v>
      </c>
      <c r="M260" s="432" t="s">
        <v>577</v>
      </c>
      <c r="N260" s="432">
        <v>70</v>
      </c>
      <c r="O260" s="435">
        <v>1</v>
      </c>
      <c r="P260" s="435" t="s">
        <v>178</v>
      </c>
      <c r="Q260" s="434">
        <f>C260*((100-Discounts!$B$15)/100)</f>
        <v>8.9</v>
      </c>
      <c r="R260" t="str">
        <f>IF(ISNUMBER(Table3[[#This Row],[Thickness]]), "Zenith", "")</f>
        <v>Zenith</v>
      </c>
      <c r="S260">
        <v>4</v>
      </c>
      <c r="T260">
        <v>200</v>
      </c>
    </row>
    <row r="261" spans="1:20" x14ac:dyDescent="0.85">
      <c r="A261" s="429" t="s">
        <v>39</v>
      </c>
      <c r="B261" s="429" t="s">
        <v>762</v>
      </c>
      <c r="C261" s="430">
        <v>29</v>
      </c>
      <c r="D261" s="430"/>
      <c r="E261" s="430" t="s">
        <v>757</v>
      </c>
      <c r="F261" s="431">
        <v>3</v>
      </c>
      <c r="G261" s="431">
        <v>1200</v>
      </c>
      <c r="H261" s="431">
        <v>10000</v>
      </c>
      <c r="I261" s="431" t="s">
        <v>777</v>
      </c>
      <c r="J261" s="432" t="s">
        <v>210</v>
      </c>
      <c r="K261" s="432">
        <v>-30</v>
      </c>
      <c r="L261" s="432">
        <v>90</v>
      </c>
      <c r="M261" s="432" t="s">
        <v>577</v>
      </c>
      <c r="N261" s="432">
        <v>70</v>
      </c>
      <c r="O261" s="431">
        <v>1</v>
      </c>
      <c r="P261" s="431" t="s">
        <v>178</v>
      </c>
      <c r="Q261" s="430">
        <f>C261*((100-Discounts!$B$15)/100)</f>
        <v>11.600000000000001</v>
      </c>
      <c r="R261" t="str">
        <f>IF(ISNUMBER(Table3[[#This Row],[Thickness]]), "Zenith", "")</f>
        <v>Zenith</v>
      </c>
      <c r="S261">
        <v>4</v>
      </c>
      <c r="T261">
        <v>200</v>
      </c>
    </row>
    <row r="262" spans="1:20" x14ac:dyDescent="0.85">
      <c r="A262" s="433" t="s">
        <v>39</v>
      </c>
      <c r="B262" s="429" t="s">
        <v>762</v>
      </c>
      <c r="C262" s="434">
        <v>29</v>
      </c>
      <c r="D262" s="434"/>
      <c r="E262" s="430" t="s">
        <v>757</v>
      </c>
      <c r="F262" s="435">
        <v>3</v>
      </c>
      <c r="G262" s="435">
        <v>1400</v>
      </c>
      <c r="H262" s="435">
        <v>10000</v>
      </c>
      <c r="I262" s="431" t="s">
        <v>777</v>
      </c>
      <c r="J262" s="432" t="s">
        <v>210</v>
      </c>
      <c r="K262" s="432">
        <v>-30</v>
      </c>
      <c r="L262" s="432">
        <v>90</v>
      </c>
      <c r="M262" s="432" t="s">
        <v>577</v>
      </c>
      <c r="N262" s="432">
        <v>70</v>
      </c>
      <c r="O262" s="435">
        <v>1</v>
      </c>
      <c r="P262" s="435" t="s">
        <v>178</v>
      </c>
      <c r="Q262" s="434">
        <f>C262*((100-Discounts!$B$15)/100)</f>
        <v>11.600000000000001</v>
      </c>
      <c r="R262" t="str">
        <f>IF(ISNUMBER(Table3[[#This Row],[Thickness]]), "Zenith", "")</f>
        <v>Zenith</v>
      </c>
      <c r="S262">
        <v>4</v>
      </c>
      <c r="T262">
        <v>200</v>
      </c>
    </row>
    <row r="263" spans="1:20" x14ac:dyDescent="0.85">
      <c r="A263" s="429" t="s">
        <v>721</v>
      </c>
      <c r="B263" s="429" t="s">
        <v>762</v>
      </c>
      <c r="C263" s="430">
        <v>35</v>
      </c>
      <c r="D263" s="430"/>
      <c r="E263" s="430" t="s">
        <v>757</v>
      </c>
      <c r="F263" s="431">
        <v>3</v>
      </c>
      <c r="G263" s="431">
        <v>1200</v>
      </c>
      <c r="H263" s="431">
        <v>10000</v>
      </c>
      <c r="I263" s="431" t="s">
        <v>777</v>
      </c>
      <c r="J263" s="432" t="s">
        <v>210</v>
      </c>
      <c r="K263" s="432">
        <v>-30</v>
      </c>
      <c r="L263" s="432">
        <v>90</v>
      </c>
      <c r="M263" s="432" t="s">
        <v>577</v>
      </c>
      <c r="N263" s="432">
        <v>70</v>
      </c>
      <c r="O263" s="431">
        <v>2</v>
      </c>
      <c r="P263" s="431" t="s">
        <v>178</v>
      </c>
      <c r="Q263" s="430">
        <f>C263*((100-Discounts!$B$15)/100)</f>
        <v>14</v>
      </c>
      <c r="R263" t="str">
        <f>IF(ISNUMBER(Table3[[#This Row],[Thickness]]), "Zenith", "")</f>
        <v>Zenith</v>
      </c>
      <c r="S263">
        <v>4</v>
      </c>
      <c r="T263">
        <v>200</v>
      </c>
    </row>
    <row r="264" spans="1:20" x14ac:dyDescent="0.85">
      <c r="A264" s="433" t="s">
        <v>721</v>
      </c>
      <c r="B264" s="429" t="s">
        <v>762</v>
      </c>
      <c r="C264" s="434">
        <v>35</v>
      </c>
      <c r="D264" s="434"/>
      <c r="E264" s="430" t="s">
        <v>757</v>
      </c>
      <c r="F264" s="435">
        <v>3</v>
      </c>
      <c r="G264" s="435">
        <v>1400</v>
      </c>
      <c r="H264" s="435">
        <v>10000</v>
      </c>
      <c r="I264" s="431" t="s">
        <v>777</v>
      </c>
      <c r="J264" s="432" t="s">
        <v>210</v>
      </c>
      <c r="K264" s="432">
        <v>-30</v>
      </c>
      <c r="L264" s="432">
        <v>90</v>
      </c>
      <c r="M264" s="432" t="s">
        <v>577</v>
      </c>
      <c r="N264" s="432">
        <v>70</v>
      </c>
      <c r="O264" s="435">
        <v>2</v>
      </c>
      <c r="P264" s="435" t="s">
        <v>178</v>
      </c>
      <c r="Q264" s="434">
        <f>C264*((100-Discounts!$B$15)/100)</f>
        <v>14</v>
      </c>
      <c r="R264" t="str">
        <f>IF(ISNUMBER(Table3[[#This Row],[Thickness]]), "Zenith", "")</f>
        <v>Zenith</v>
      </c>
      <c r="S264">
        <v>4</v>
      </c>
      <c r="T264">
        <v>200</v>
      </c>
    </row>
    <row r="265" spans="1:20" x14ac:dyDescent="0.85">
      <c r="A265" s="429" t="s">
        <v>41</v>
      </c>
      <c r="B265" s="429" t="s">
        <v>762</v>
      </c>
      <c r="C265" s="430">
        <v>36.5</v>
      </c>
      <c r="D265" s="430"/>
      <c r="E265" s="430" t="s">
        <v>757</v>
      </c>
      <c r="F265" s="431">
        <v>4</v>
      </c>
      <c r="G265" s="431">
        <v>1200</v>
      </c>
      <c r="H265" s="431">
        <v>10000</v>
      </c>
      <c r="I265" s="431" t="s">
        <v>777</v>
      </c>
      <c r="J265" s="432" t="s">
        <v>210</v>
      </c>
      <c r="K265" s="432">
        <v>-30</v>
      </c>
      <c r="L265" s="432">
        <v>90</v>
      </c>
      <c r="M265" s="432" t="s">
        <v>577</v>
      </c>
      <c r="N265" s="432">
        <v>70</v>
      </c>
      <c r="O265" s="431">
        <v>1</v>
      </c>
      <c r="P265" s="431" t="s">
        <v>178</v>
      </c>
      <c r="Q265" s="430">
        <f>C265*((100-Discounts!$B$15)/100)</f>
        <v>14.600000000000001</v>
      </c>
      <c r="R265" t="str">
        <f>IF(ISNUMBER(Table3[[#This Row],[Thickness]]), "Zenith", "")</f>
        <v>Zenith</v>
      </c>
      <c r="S265">
        <v>4</v>
      </c>
      <c r="T265">
        <v>200</v>
      </c>
    </row>
    <row r="266" spans="1:20" x14ac:dyDescent="0.85">
      <c r="A266" s="433" t="s">
        <v>41</v>
      </c>
      <c r="B266" s="429" t="s">
        <v>762</v>
      </c>
      <c r="C266" s="434">
        <v>36.5</v>
      </c>
      <c r="D266" s="434"/>
      <c r="E266" s="430" t="s">
        <v>757</v>
      </c>
      <c r="F266" s="435">
        <v>4</v>
      </c>
      <c r="G266" s="435">
        <v>1400</v>
      </c>
      <c r="H266" s="435">
        <v>10000</v>
      </c>
      <c r="I266" s="431" t="s">
        <v>777</v>
      </c>
      <c r="J266" s="432" t="s">
        <v>210</v>
      </c>
      <c r="K266" s="432">
        <v>-30</v>
      </c>
      <c r="L266" s="432">
        <v>90</v>
      </c>
      <c r="M266" s="432" t="s">
        <v>577</v>
      </c>
      <c r="N266" s="432">
        <v>70</v>
      </c>
      <c r="O266" s="435">
        <v>1</v>
      </c>
      <c r="P266" s="435" t="s">
        <v>178</v>
      </c>
      <c r="Q266" s="434">
        <f>C266*((100-Discounts!$B$15)/100)</f>
        <v>14.600000000000001</v>
      </c>
      <c r="R266" t="str">
        <f>IF(ISNUMBER(Table3[[#This Row],[Thickness]]), "Zenith", "")</f>
        <v>Zenith</v>
      </c>
      <c r="S266">
        <v>4</v>
      </c>
      <c r="T266">
        <v>200</v>
      </c>
    </row>
    <row r="267" spans="1:20" x14ac:dyDescent="0.85">
      <c r="A267" s="429" t="s">
        <v>720</v>
      </c>
      <c r="B267" s="429" t="s">
        <v>762</v>
      </c>
      <c r="C267" s="430">
        <v>42.5</v>
      </c>
      <c r="D267" s="430"/>
      <c r="E267" s="430" t="s">
        <v>757</v>
      </c>
      <c r="F267" s="431">
        <v>4</v>
      </c>
      <c r="G267" s="431">
        <v>1200</v>
      </c>
      <c r="H267" s="431">
        <v>10000</v>
      </c>
      <c r="I267" s="431" t="s">
        <v>777</v>
      </c>
      <c r="J267" s="432" t="s">
        <v>210</v>
      </c>
      <c r="K267" s="432">
        <v>-30</v>
      </c>
      <c r="L267" s="432">
        <v>90</v>
      </c>
      <c r="M267" s="432" t="s">
        <v>577</v>
      </c>
      <c r="N267" s="432">
        <v>70</v>
      </c>
      <c r="O267" s="431">
        <v>2</v>
      </c>
      <c r="P267" s="431" t="s">
        <v>178</v>
      </c>
      <c r="Q267" s="430">
        <f>C267*((100-Discounts!$B$15)/100)</f>
        <v>17</v>
      </c>
      <c r="R267" t="str">
        <f>IF(ISNUMBER(Table3[[#This Row],[Thickness]]), "Zenith", "")</f>
        <v>Zenith</v>
      </c>
      <c r="S267">
        <v>4</v>
      </c>
      <c r="T267">
        <v>200</v>
      </c>
    </row>
    <row r="268" spans="1:20" x14ac:dyDescent="0.85">
      <c r="A268" s="433" t="s">
        <v>720</v>
      </c>
      <c r="B268" s="429" t="s">
        <v>762</v>
      </c>
      <c r="C268" s="434">
        <v>42.5</v>
      </c>
      <c r="D268" s="434"/>
      <c r="E268" s="430" t="s">
        <v>757</v>
      </c>
      <c r="F268" s="435">
        <v>4</v>
      </c>
      <c r="G268" s="435">
        <v>1400</v>
      </c>
      <c r="H268" s="435">
        <v>10000</v>
      </c>
      <c r="I268" s="431" t="s">
        <v>777</v>
      </c>
      <c r="J268" s="432" t="s">
        <v>210</v>
      </c>
      <c r="K268" s="432">
        <v>-30</v>
      </c>
      <c r="L268" s="432">
        <v>90</v>
      </c>
      <c r="M268" s="432" t="s">
        <v>577</v>
      </c>
      <c r="N268" s="432">
        <v>70</v>
      </c>
      <c r="O268" s="435">
        <v>2</v>
      </c>
      <c r="P268" s="435" t="s">
        <v>178</v>
      </c>
      <c r="Q268" s="434">
        <f>C268*((100-Discounts!$B$15)/100)</f>
        <v>17</v>
      </c>
      <c r="R268" t="str">
        <f>IF(ISNUMBER(Table3[[#This Row],[Thickness]]), "Zenith", "")</f>
        <v>Zenith</v>
      </c>
      <c r="S268">
        <v>4</v>
      </c>
      <c r="T268">
        <v>200</v>
      </c>
    </row>
    <row r="269" spans="1:20" x14ac:dyDescent="0.85">
      <c r="A269" s="429" t="s">
        <v>43</v>
      </c>
      <c r="B269" s="429" t="s">
        <v>762</v>
      </c>
      <c r="C269" s="430">
        <v>44</v>
      </c>
      <c r="D269" s="430"/>
      <c r="E269" s="430" t="s">
        <v>757</v>
      </c>
      <c r="F269" s="431">
        <v>5</v>
      </c>
      <c r="G269" s="431">
        <v>1200</v>
      </c>
      <c r="H269" s="431">
        <v>10000</v>
      </c>
      <c r="I269" s="431" t="s">
        <v>777</v>
      </c>
      <c r="J269" s="432" t="s">
        <v>210</v>
      </c>
      <c r="K269" s="432">
        <v>-30</v>
      </c>
      <c r="L269" s="432">
        <v>90</v>
      </c>
      <c r="M269" s="432" t="s">
        <v>577</v>
      </c>
      <c r="N269" s="432">
        <v>70</v>
      </c>
      <c r="O269" s="431">
        <v>1</v>
      </c>
      <c r="P269" s="431" t="s">
        <v>178</v>
      </c>
      <c r="Q269" s="430">
        <f>C269*((100-Discounts!$B$15)/100)</f>
        <v>17.600000000000001</v>
      </c>
      <c r="R269" t="str">
        <f>IF(ISNUMBER(Table3[[#This Row],[Thickness]]), "Zenith", "")</f>
        <v>Zenith</v>
      </c>
      <c r="S269">
        <v>4</v>
      </c>
      <c r="T269">
        <v>200</v>
      </c>
    </row>
    <row r="270" spans="1:20" x14ac:dyDescent="0.85">
      <c r="A270" s="433" t="s">
        <v>43</v>
      </c>
      <c r="B270" s="429" t="s">
        <v>762</v>
      </c>
      <c r="C270" s="434">
        <v>44</v>
      </c>
      <c r="D270" s="434"/>
      <c r="E270" s="430" t="s">
        <v>757</v>
      </c>
      <c r="F270" s="435">
        <v>5</v>
      </c>
      <c r="G270" s="435">
        <v>1400</v>
      </c>
      <c r="H270" s="435">
        <v>10000</v>
      </c>
      <c r="I270" s="431" t="s">
        <v>777</v>
      </c>
      <c r="J270" s="432" t="s">
        <v>210</v>
      </c>
      <c r="K270" s="432">
        <v>-30</v>
      </c>
      <c r="L270" s="432">
        <v>90</v>
      </c>
      <c r="M270" s="432" t="s">
        <v>577</v>
      </c>
      <c r="N270" s="432">
        <v>70</v>
      </c>
      <c r="O270" s="435">
        <v>1</v>
      </c>
      <c r="P270" s="435" t="s">
        <v>178</v>
      </c>
      <c r="Q270" s="434">
        <f>C270*((100-Discounts!$B$15)/100)</f>
        <v>17.600000000000001</v>
      </c>
      <c r="R270" t="str">
        <f>IF(ISNUMBER(Table3[[#This Row],[Thickness]]), "Zenith", "")</f>
        <v>Zenith</v>
      </c>
      <c r="S270">
        <v>4</v>
      </c>
      <c r="T270">
        <v>200</v>
      </c>
    </row>
    <row r="271" spans="1:20" x14ac:dyDescent="0.85">
      <c r="A271" s="429" t="s">
        <v>719</v>
      </c>
      <c r="B271" s="429" t="s">
        <v>762</v>
      </c>
      <c r="C271" s="430">
        <v>50</v>
      </c>
      <c r="D271" s="430"/>
      <c r="E271" s="430" t="s">
        <v>757</v>
      </c>
      <c r="F271" s="431">
        <v>5</v>
      </c>
      <c r="G271" s="431">
        <v>1400</v>
      </c>
      <c r="H271" s="431">
        <v>10000</v>
      </c>
      <c r="I271" s="431" t="s">
        <v>777</v>
      </c>
      <c r="J271" s="432" t="s">
        <v>210</v>
      </c>
      <c r="K271" s="432">
        <v>-30</v>
      </c>
      <c r="L271" s="432">
        <v>90</v>
      </c>
      <c r="M271" s="432" t="s">
        <v>577</v>
      </c>
      <c r="N271" s="432">
        <v>70</v>
      </c>
      <c r="O271" s="431">
        <v>2</v>
      </c>
      <c r="P271" s="431" t="s">
        <v>178</v>
      </c>
      <c r="Q271" s="430">
        <f>C271*((100-Discounts!$B$15)/100)</f>
        <v>20</v>
      </c>
      <c r="R271" t="str">
        <f>IF(ISNUMBER(Table3[[#This Row],[Thickness]]), "Zenith", "")</f>
        <v>Zenith</v>
      </c>
      <c r="S271">
        <v>4</v>
      </c>
      <c r="T271">
        <v>200</v>
      </c>
    </row>
    <row r="272" spans="1:20" x14ac:dyDescent="0.85">
      <c r="A272" s="433" t="s">
        <v>718</v>
      </c>
      <c r="B272" s="429" t="s">
        <v>762</v>
      </c>
      <c r="C272" s="434">
        <v>56.5</v>
      </c>
      <c r="D272" s="434"/>
      <c r="E272" s="430" t="s">
        <v>757</v>
      </c>
      <c r="F272" s="435">
        <v>6</v>
      </c>
      <c r="G272" s="435">
        <v>1400</v>
      </c>
      <c r="H272" s="435">
        <v>10000</v>
      </c>
      <c r="I272" s="431" t="s">
        <v>777</v>
      </c>
      <c r="J272" s="432" t="s">
        <v>210</v>
      </c>
      <c r="K272" s="432">
        <v>-30</v>
      </c>
      <c r="L272" s="432">
        <v>90</v>
      </c>
      <c r="M272" s="432" t="s">
        <v>577</v>
      </c>
      <c r="N272" s="432">
        <v>70</v>
      </c>
      <c r="O272" s="435">
        <v>2</v>
      </c>
      <c r="P272" s="435" t="s">
        <v>178</v>
      </c>
      <c r="Q272" s="434">
        <f>C272*((100-Discounts!$B$15)/100)</f>
        <v>22.6</v>
      </c>
      <c r="R272" t="str">
        <f>IF(ISNUMBER(Table3[[#This Row],[Thickness]]), "Zenith", "")</f>
        <v>Zenith</v>
      </c>
      <c r="S272">
        <v>4</v>
      </c>
      <c r="T272">
        <v>200</v>
      </c>
    </row>
    <row r="273" spans="1:20" x14ac:dyDescent="0.85">
      <c r="A273" s="429" t="s">
        <v>717</v>
      </c>
      <c r="B273" s="429" t="s">
        <v>762</v>
      </c>
      <c r="C273" s="430">
        <v>70.25</v>
      </c>
      <c r="D273" s="430"/>
      <c r="E273" s="430" t="s">
        <v>757</v>
      </c>
      <c r="F273" s="431">
        <v>8</v>
      </c>
      <c r="G273" s="431">
        <v>1400</v>
      </c>
      <c r="H273" s="431">
        <v>5000</v>
      </c>
      <c r="I273" s="431" t="s">
        <v>777</v>
      </c>
      <c r="J273" s="432" t="s">
        <v>210</v>
      </c>
      <c r="K273" s="432">
        <v>-30</v>
      </c>
      <c r="L273" s="432">
        <v>90</v>
      </c>
      <c r="M273" s="432" t="s">
        <v>577</v>
      </c>
      <c r="N273" s="432">
        <v>70</v>
      </c>
      <c r="O273" s="431">
        <v>2</v>
      </c>
      <c r="P273" s="431" t="s">
        <v>178</v>
      </c>
      <c r="Q273" s="430">
        <f>C273*((100-Discounts!$B$15)/100)</f>
        <v>28.1</v>
      </c>
      <c r="R273" t="str">
        <f>IF(ISNUMBER(Table3[[#This Row],[Thickness]]), "Zenith", "")</f>
        <v>Zenith</v>
      </c>
      <c r="S273">
        <v>4</v>
      </c>
      <c r="T273">
        <v>200</v>
      </c>
    </row>
    <row r="274" spans="1:20" x14ac:dyDescent="0.85">
      <c r="A274" s="433" t="s">
        <v>716</v>
      </c>
      <c r="B274" s="429" t="s">
        <v>762</v>
      </c>
      <c r="C274" s="434">
        <v>83.25</v>
      </c>
      <c r="D274" s="434"/>
      <c r="E274" s="430" t="s">
        <v>757</v>
      </c>
      <c r="F274" s="435">
        <v>10</v>
      </c>
      <c r="G274" s="435">
        <v>1200</v>
      </c>
      <c r="H274" s="435">
        <v>10000</v>
      </c>
      <c r="I274" s="431" t="s">
        <v>777</v>
      </c>
      <c r="J274" s="432" t="s">
        <v>210</v>
      </c>
      <c r="K274" s="432">
        <v>-30</v>
      </c>
      <c r="L274" s="432">
        <v>90</v>
      </c>
      <c r="M274" s="432" t="s">
        <v>577</v>
      </c>
      <c r="N274" s="432">
        <v>70</v>
      </c>
      <c r="O274" s="435">
        <v>2</v>
      </c>
      <c r="P274" s="435" t="s">
        <v>178</v>
      </c>
      <c r="Q274" s="434">
        <f>C274*((100-Discounts!$B$15)/100)</f>
        <v>33.300000000000004</v>
      </c>
      <c r="R274" t="str">
        <f>IF(ISNUMBER(Table3[[#This Row],[Thickness]]), "Zenith", "")</f>
        <v>Zenith</v>
      </c>
      <c r="S274">
        <v>4</v>
      </c>
      <c r="T274">
        <v>200</v>
      </c>
    </row>
    <row r="275" spans="1:20" x14ac:dyDescent="0.85">
      <c r="A275" s="429" t="s">
        <v>716</v>
      </c>
      <c r="B275" s="429" t="s">
        <v>762</v>
      </c>
      <c r="C275" s="430">
        <v>83.25</v>
      </c>
      <c r="D275" s="430"/>
      <c r="E275" s="430" t="s">
        <v>757</v>
      </c>
      <c r="F275" s="431">
        <v>10</v>
      </c>
      <c r="G275" s="431">
        <v>1400</v>
      </c>
      <c r="H275" s="431">
        <v>5000</v>
      </c>
      <c r="I275" s="431" t="s">
        <v>777</v>
      </c>
      <c r="J275" s="432" t="s">
        <v>210</v>
      </c>
      <c r="K275" s="432">
        <v>-30</v>
      </c>
      <c r="L275" s="432">
        <v>90</v>
      </c>
      <c r="M275" s="432" t="s">
        <v>577</v>
      </c>
      <c r="N275" s="432">
        <v>70</v>
      </c>
      <c r="O275" s="431">
        <v>2</v>
      </c>
      <c r="P275" s="431" t="s">
        <v>178</v>
      </c>
      <c r="Q275" s="430">
        <f>C275*((100-Discounts!$B$15)/100)</f>
        <v>33.300000000000004</v>
      </c>
      <c r="R275" t="str">
        <f>IF(ISNUMBER(Table3[[#This Row],[Thickness]]), "Zenith", "")</f>
        <v>Zenith</v>
      </c>
      <c r="S275">
        <v>4</v>
      </c>
      <c r="T275">
        <v>200</v>
      </c>
    </row>
    <row r="276" spans="1:20" x14ac:dyDescent="0.85">
      <c r="A276" s="433" t="s">
        <v>716</v>
      </c>
      <c r="B276" s="429" t="s">
        <v>762</v>
      </c>
      <c r="C276" s="434">
        <v>83.25</v>
      </c>
      <c r="D276" s="434"/>
      <c r="E276" s="430" t="s">
        <v>757</v>
      </c>
      <c r="F276" s="435">
        <v>10</v>
      </c>
      <c r="G276" s="435">
        <v>1400</v>
      </c>
      <c r="H276" s="435">
        <v>10000</v>
      </c>
      <c r="I276" s="431" t="s">
        <v>777</v>
      </c>
      <c r="J276" s="432" t="s">
        <v>210</v>
      </c>
      <c r="K276" s="432">
        <v>-30</v>
      </c>
      <c r="L276" s="432">
        <v>90</v>
      </c>
      <c r="M276" s="432" t="s">
        <v>577</v>
      </c>
      <c r="N276" s="432">
        <v>70</v>
      </c>
      <c r="O276" s="435">
        <v>2</v>
      </c>
      <c r="P276" s="435" t="s">
        <v>178</v>
      </c>
      <c r="Q276" s="434">
        <f>C276*((100-Discounts!$B$15)/100)</f>
        <v>33.300000000000004</v>
      </c>
      <c r="R276" t="str">
        <f>IF(ISNUMBER(Table3[[#This Row],[Thickness]]), "Zenith", "")</f>
        <v>Zenith</v>
      </c>
      <c r="S276">
        <v>4</v>
      </c>
      <c r="T276">
        <v>200</v>
      </c>
    </row>
    <row r="277" spans="1:20" ht="27" thickBot="1" x14ac:dyDescent="0.9">
      <c r="A277" s="365"/>
      <c r="B277" s="366"/>
      <c r="C277" s="367"/>
      <c r="D277" s="367"/>
      <c r="E277" s="367"/>
      <c r="F277" s="368" t="s">
        <v>371</v>
      </c>
      <c r="G277" s="368">
        <v>0</v>
      </c>
      <c r="H277" s="327">
        <v>0</v>
      </c>
      <c r="I277" s="217" t="s">
        <v>777</v>
      </c>
      <c r="J277" t="s">
        <v>210</v>
      </c>
      <c r="M277" s="352"/>
      <c r="N277" s="349"/>
      <c r="O277" s="327"/>
      <c r="P277" s="327"/>
      <c r="Q277" s="369" t="s">
        <v>323</v>
      </c>
      <c r="R277" t="str">
        <f>IF(ISNUMBER(Table3[[#This Row],[Thickness]]), "Zenith", "")</f>
        <v/>
      </c>
    </row>
    <row r="278" spans="1:20" ht="54" thickTop="1" thickBot="1" x14ac:dyDescent="0.9">
      <c r="A278" s="129" t="s">
        <v>322</v>
      </c>
      <c r="B278" s="298"/>
      <c r="C278" s="249" t="s">
        <v>179</v>
      </c>
      <c r="D278" s="313"/>
      <c r="E278" s="313"/>
      <c r="F278" s="247" t="s">
        <v>320</v>
      </c>
      <c r="G278" s="247" t="e">
        <v>#VALUE!</v>
      </c>
      <c r="H278" s="248" t="e">
        <v>#VALUE!</v>
      </c>
      <c r="I278" s="217" t="s">
        <v>777</v>
      </c>
      <c r="J278" t="s">
        <v>210</v>
      </c>
      <c r="M278" s="231"/>
      <c r="N278" s="233"/>
      <c r="O278" s="248" t="s">
        <v>171</v>
      </c>
      <c r="P278" s="248" t="s">
        <v>325</v>
      </c>
      <c r="Q278" s="248" t="s">
        <v>199</v>
      </c>
      <c r="R278" t="str">
        <f>IF(ISNUMBER(Table3[[#This Row],[Thickness]]), "Zenith", "")</f>
        <v/>
      </c>
    </row>
    <row r="279" spans="1:20" ht="27" thickTop="1" x14ac:dyDescent="0.85">
      <c r="A279" s="429" t="s">
        <v>374</v>
      </c>
      <c r="B279" s="429" t="s">
        <v>371</v>
      </c>
      <c r="C279" s="430">
        <v>75</v>
      </c>
      <c r="D279" s="430"/>
      <c r="E279" s="430" t="s">
        <v>757</v>
      </c>
      <c r="F279" s="431">
        <v>10</v>
      </c>
      <c r="G279" s="431">
        <v>1000</v>
      </c>
      <c r="H279" s="431">
        <v>1000</v>
      </c>
      <c r="I279" s="431" t="s">
        <v>777</v>
      </c>
      <c r="J279" s="432" t="s">
        <v>210</v>
      </c>
      <c r="K279" s="432">
        <v>-30</v>
      </c>
      <c r="L279" s="432">
        <v>90</v>
      </c>
      <c r="M279" s="432" t="s">
        <v>577</v>
      </c>
      <c r="N279" s="432">
        <v>70</v>
      </c>
      <c r="O279" s="431" t="s">
        <v>168</v>
      </c>
      <c r="P279" s="431" t="s">
        <v>168</v>
      </c>
      <c r="Q279" s="430">
        <f>C279*((100-Discounts!$B$15)/100)</f>
        <v>30</v>
      </c>
      <c r="R279" t="str">
        <f>IF(ISNUMBER(Table3[[#This Row],[Thickness]]), "Zenith", "")</f>
        <v>Zenith</v>
      </c>
      <c r="S279">
        <v>4</v>
      </c>
      <c r="T279">
        <v>200</v>
      </c>
    </row>
    <row r="280" spans="1:20" x14ac:dyDescent="0.85">
      <c r="A280" s="433" t="s">
        <v>375</v>
      </c>
      <c r="B280" s="429" t="s">
        <v>371</v>
      </c>
      <c r="C280" s="434">
        <v>110.25</v>
      </c>
      <c r="D280" s="434"/>
      <c r="E280" s="430" t="s">
        <v>757</v>
      </c>
      <c r="F280" s="435">
        <v>15</v>
      </c>
      <c r="G280" s="435">
        <v>1000</v>
      </c>
      <c r="H280" s="435">
        <v>1000</v>
      </c>
      <c r="I280" s="431" t="s">
        <v>777</v>
      </c>
      <c r="J280" s="432" t="s">
        <v>210</v>
      </c>
      <c r="K280" s="432">
        <v>-30</v>
      </c>
      <c r="L280" s="432">
        <v>90</v>
      </c>
      <c r="M280" s="432" t="s">
        <v>577</v>
      </c>
      <c r="N280" s="432">
        <v>70</v>
      </c>
      <c r="O280" s="435" t="s">
        <v>168</v>
      </c>
      <c r="P280" s="435" t="s">
        <v>168</v>
      </c>
      <c r="Q280" s="434">
        <f>C280*((100-Discounts!$B$15)/100)</f>
        <v>44.1</v>
      </c>
      <c r="R280" t="str">
        <f>IF(ISNUMBER(Table3[[#This Row],[Thickness]]), "Zenith", "")</f>
        <v>Zenith</v>
      </c>
      <c r="S280">
        <v>4</v>
      </c>
      <c r="T280">
        <v>200</v>
      </c>
    </row>
    <row r="281" spans="1:20" x14ac:dyDescent="0.85">
      <c r="A281" s="429" t="s">
        <v>376</v>
      </c>
      <c r="B281" s="429" t="s">
        <v>371</v>
      </c>
      <c r="C281" s="430">
        <v>144</v>
      </c>
      <c r="D281" s="430"/>
      <c r="E281" s="430" t="s">
        <v>757</v>
      </c>
      <c r="F281" s="431">
        <v>20</v>
      </c>
      <c r="G281" s="431">
        <v>1000</v>
      </c>
      <c r="H281" s="431">
        <v>1000</v>
      </c>
      <c r="I281" s="431" t="s">
        <v>777</v>
      </c>
      <c r="J281" s="432" t="s">
        <v>210</v>
      </c>
      <c r="K281" s="432">
        <v>-30</v>
      </c>
      <c r="L281" s="432">
        <v>90</v>
      </c>
      <c r="M281" s="432" t="s">
        <v>577</v>
      </c>
      <c r="N281" s="432">
        <v>70</v>
      </c>
      <c r="O281" s="431" t="s">
        <v>168</v>
      </c>
      <c r="P281" s="431" t="s">
        <v>168</v>
      </c>
      <c r="Q281" s="430">
        <f>C281*((100-Discounts!$B$15)/100)</f>
        <v>57.6</v>
      </c>
      <c r="R281" t="str">
        <f>IF(ISNUMBER(Table3[[#This Row],[Thickness]]), "Zenith", "")</f>
        <v>Zenith</v>
      </c>
      <c r="S281">
        <v>4</v>
      </c>
      <c r="T281">
        <v>200</v>
      </c>
    </row>
    <row r="282" spans="1:20" x14ac:dyDescent="0.85">
      <c r="A282" s="433" t="s">
        <v>49</v>
      </c>
      <c r="B282" s="429" t="s">
        <v>371</v>
      </c>
      <c r="C282" s="434">
        <v>137.25</v>
      </c>
      <c r="D282" s="434"/>
      <c r="E282" s="430" t="s">
        <v>757</v>
      </c>
      <c r="F282" s="435">
        <v>20</v>
      </c>
      <c r="G282" s="435">
        <v>1400</v>
      </c>
      <c r="H282" s="435">
        <v>2000</v>
      </c>
      <c r="I282" s="431" t="s">
        <v>777</v>
      </c>
      <c r="J282" s="432" t="s">
        <v>210</v>
      </c>
      <c r="K282" s="432">
        <v>-30</v>
      </c>
      <c r="L282" s="432">
        <v>90</v>
      </c>
      <c r="M282" s="432" t="s">
        <v>577</v>
      </c>
      <c r="N282" s="432">
        <v>70</v>
      </c>
      <c r="O282" s="435" t="s">
        <v>168</v>
      </c>
      <c r="P282" s="435" t="s">
        <v>168</v>
      </c>
      <c r="Q282" s="434">
        <f>C282*((100-Discounts!$B$15)/100)</f>
        <v>54.900000000000006</v>
      </c>
      <c r="R282" t="str">
        <f>IF(ISNUMBER(Table3[[#This Row],[Thickness]]), "Zenith", "")</f>
        <v>Zenith</v>
      </c>
      <c r="S282">
        <v>4</v>
      </c>
      <c r="T282">
        <v>200</v>
      </c>
    </row>
    <row r="283" spans="1:20" x14ac:dyDescent="0.85">
      <c r="A283" s="429" t="s">
        <v>377</v>
      </c>
      <c r="B283" s="429" t="s">
        <v>371</v>
      </c>
      <c r="C283" s="430">
        <v>216.25</v>
      </c>
      <c r="D283" s="430"/>
      <c r="E283" s="430" t="s">
        <v>757</v>
      </c>
      <c r="F283" s="431">
        <v>20</v>
      </c>
      <c r="G283" s="431">
        <v>1500</v>
      </c>
      <c r="H283" s="431">
        <v>1000</v>
      </c>
      <c r="I283" s="431" t="s">
        <v>777</v>
      </c>
      <c r="J283" s="432" t="s">
        <v>210</v>
      </c>
      <c r="K283" s="432">
        <v>-30</v>
      </c>
      <c r="L283" s="432">
        <v>90</v>
      </c>
      <c r="M283" s="432" t="s">
        <v>577</v>
      </c>
      <c r="N283" s="432">
        <v>70</v>
      </c>
      <c r="O283" s="431" t="s">
        <v>168</v>
      </c>
      <c r="P283" s="431" t="s">
        <v>168</v>
      </c>
      <c r="Q283" s="430">
        <f>C283*((100-Discounts!$B$15)/100)</f>
        <v>86.5</v>
      </c>
      <c r="R283" t="str">
        <f>IF(ISNUMBER(Table3[[#This Row],[Thickness]]), "Zenith", "")</f>
        <v>Zenith</v>
      </c>
      <c r="S283">
        <v>4</v>
      </c>
      <c r="T283">
        <v>200</v>
      </c>
    </row>
    <row r="284" spans="1:20" x14ac:dyDescent="0.85">
      <c r="A284" s="433" t="s">
        <v>378</v>
      </c>
      <c r="B284" s="429" t="s">
        <v>371</v>
      </c>
      <c r="C284" s="434">
        <v>182</v>
      </c>
      <c r="D284" s="434"/>
      <c r="E284" s="430" t="s">
        <v>757</v>
      </c>
      <c r="F284" s="435">
        <v>25</v>
      </c>
      <c r="G284" s="435">
        <v>1000</v>
      </c>
      <c r="H284" s="435">
        <v>1000</v>
      </c>
      <c r="I284" s="431" t="s">
        <v>777</v>
      </c>
      <c r="J284" s="432" t="s">
        <v>210</v>
      </c>
      <c r="K284" s="432">
        <v>-30</v>
      </c>
      <c r="L284" s="432">
        <v>90</v>
      </c>
      <c r="M284" s="432" t="s">
        <v>577</v>
      </c>
      <c r="N284" s="432">
        <v>70</v>
      </c>
      <c r="O284" s="435" t="s">
        <v>168</v>
      </c>
      <c r="P284" s="435" t="s">
        <v>168</v>
      </c>
      <c r="Q284" s="434">
        <f>C284*((100-Discounts!$B$15)/100)</f>
        <v>72.8</v>
      </c>
      <c r="R284" t="str">
        <f>IF(ISNUMBER(Table3[[#This Row],[Thickness]]), "Zenith", "")</f>
        <v>Zenith</v>
      </c>
      <c r="S284">
        <v>4</v>
      </c>
      <c r="T284">
        <v>200</v>
      </c>
    </row>
    <row r="285" spans="1:20" x14ac:dyDescent="0.85">
      <c r="A285" s="429" t="s">
        <v>379</v>
      </c>
      <c r="B285" s="429" t="s">
        <v>371</v>
      </c>
      <c r="C285" s="430">
        <v>273</v>
      </c>
      <c r="D285" s="430"/>
      <c r="E285" s="430" t="s">
        <v>757</v>
      </c>
      <c r="F285" s="431">
        <v>25</v>
      </c>
      <c r="G285" s="431">
        <v>1500</v>
      </c>
      <c r="H285" s="431">
        <v>1000</v>
      </c>
      <c r="I285" s="431" t="s">
        <v>777</v>
      </c>
      <c r="J285" s="432" t="s">
        <v>210</v>
      </c>
      <c r="K285" s="432">
        <v>-30</v>
      </c>
      <c r="L285" s="432">
        <v>90</v>
      </c>
      <c r="M285" s="432" t="s">
        <v>577</v>
      </c>
      <c r="N285" s="432">
        <v>70</v>
      </c>
      <c r="O285" s="431" t="s">
        <v>168</v>
      </c>
      <c r="P285" s="431" t="s">
        <v>168</v>
      </c>
      <c r="Q285" s="430">
        <f>C285*((100-Discounts!$B$15)/100)</f>
        <v>109.2</v>
      </c>
      <c r="R285" t="str">
        <f>IF(ISNUMBER(Table3[[#This Row],[Thickness]]), "Zenith", "")</f>
        <v>Zenith</v>
      </c>
      <c r="S285">
        <v>4</v>
      </c>
      <c r="T285">
        <v>200</v>
      </c>
    </row>
    <row r="286" spans="1:20" x14ac:dyDescent="0.85">
      <c r="A286" s="433" t="s">
        <v>187</v>
      </c>
      <c r="B286" s="429" t="s">
        <v>371</v>
      </c>
      <c r="C286" s="434">
        <v>212.25</v>
      </c>
      <c r="D286" s="434"/>
      <c r="E286" s="430" t="s">
        <v>757</v>
      </c>
      <c r="F286" s="435">
        <v>30</v>
      </c>
      <c r="G286" s="435">
        <v>1400</v>
      </c>
      <c r="H286" s="435">
        <v>2000</v>
      </c>
      <c r="I286" s="431" t="s">
        <v>777</v>
      </c>
      <c r="J286" s="432" t="s">
        <v>210</v>
      </c>
      <c r="K286" s="432">
        <v>-30</v>
      </c>
      <c r="L286" s="432">
        <v>90</v>
      </c>
      <c r="M286" s="432" t="s">
        <v>577</v>
      </c>
      <c r="N286" s="432">
        <v>70</v>
      </c>
      <c r="O286" s="435" t="s">
        <v>168</v>
      </c>
      <c r="P286" s="435" t="s">
        <v>168</v>
      </c>
      <c r="Q286" s="434">
        <f>C286*((100-Discounts!$B$15)/100)</f>
        <v>84.9</v>
      </c>
      <c r="R286" t="str">
        <f>IF(ISNUMBER(Table3[[#This Row],[Thickness]]), "Zenith", "")</f>
        <v>Zenith</v>
      </c>
      <c r="S286">
        <v>4</v>
      </c>
      <c r="T286">
        <v>200</v>
      </c>
    </row>
    <row r="287" spans="1:20" x14ac:dyDescent="0.85">
      <c r="A287" s="429" t="s">
        <v>380</v>
      </c>
      <c r="B287" s="429" t="s">
        <v>371</v>
      </c>
      <c r="C287" s="430">
        <v>334.5</v>
      </c>
      <c r="D287" s="430"/>
      <c r="E287" s="430" t="s">
        <v>757</v>
      </c>
      <c r="F287" s="431">
        <v>30</v>
      </c>
      <c r="G287" s="431">
        <v>1500</v>
      </c>
      <c r="H287" s="431">
        <v>1000</v>
      </c>
      <c r="I287" s="431" t="s">
        <v>777</v>
      </c>
      <c r="J287" s="432" t="s">
        <v>210</v>
      </c>
      <c r="K287" s="432">
        <v>-30</v>
      </c>
      <c r="L287" s="432">
        <v>90</v>
      </c>
      <c r="M287" s="432" t="s">
        <v>577</v>
      </c>
      <c r="N287" s="432">
        <v>70</v>
      </c>
      <c r="O287" s="431" t="s">
        <v>168</v>
      </c>
      <c r="P287" s="431" t="s">
        <v>168</v>
      </c>
      <c r="Q287" s="430">
        <f>C287*((100-Discounts!$B$15)/100)</f>
        <v>133.80000000000001</v>
      </c>
      <c r="R287" t="str">
        <f>IF(ISNUMBER(Table3[[#This Row],[Thickness]]), "Zenith", "")</f>
        <v>Zenith</v>
      </c>
      <c r="S287">
        <v>4</v>
      </c>
      <c r="T287">
        <v>200</v>
      </c>
    </row>
    <row r="288" spans="1:20" x14ac:dyDescent="0.85">
      <c r="A288" s="433" t="s">
        <v>188</v>
      </c>
      <c r="B288" s="429" t="s">
        <v>371</v>
      </c>
      <c r="C288" s="434">
        <v>282.75</v>
      </c>
      <c r="D288" s="434"/>
      <c r="E288" s="430" t="s">
        <v>757</v>
      </c>
      <c r="F288" s="435">
        <v>40</v>
      </c>
      <c r="G288" s="435">
        <v>1400</v>
      </c>
      <c r="H288" s="435">
        <v>2000</v>
      </c>
      <c r="I288" s="431" t="s">
        <v>777</v>
      </c>
      <c r="J288" s="432" t="s">
        <v>210</v>
      </c>
      <c r="K288" s="432">
        <v>-30</v>
      </c>
      <c r="L288" s="432">
        <v>90</v>
      </c>
      <c r="M288" s="432" t="s">
        <v>577</v>
      </c>
      <c r="N288" s="432">
        <v>70</v>
      </c>
      <c r="O288" s="435" t="s">
        <v>168</v>
      </c>
      <c r="P288" s="435" t="s">
        <v>168</v>
      </c>
      <c r="Q288" s="434">
        <f>C288*((100-Discounts!$B$15)/100)</f>
        <v>113.10000000000001</v>
      </c>
      <c r="R288" t="str">
        <f>IF(ISNUMBER(Table3[[#This Row],[Thickness]]), "Zenith", "")</f>
        <v>Zenith</v>
      </c>
      <c r="S288">
        <v>4</v>
      </c>
      <c r="T288">
        <v>200</v>
      </c>
    </row>
    <row r="289" spans="1:20" x14ac:dyDescent="0.85">
      <c r="A289" s="429" t="s">
        <v>189</v>
      </c>
      <c r="B289" s="429" t="s">
        <v>371</v>
      </c>
      <c r="C289" s="430">
        <v>354</v>
      </c>
      <c r="D289" s="430"/>
      <c r="E289" s="430" t="s">
        <v>757</v>
      </c>
      <c r="F289" s="431">
        <v>50</v>
      </c>
      <c r="G289" s="431">
        <v>1400</v>
      </c>
      <c r="H289" s="431">
        <v>2000</v>
      </c>
      <c r="I289" s="431" t="s">
        <v>777</v>
      </c>
      <c r="J289" s="432" t="s">
        <v>210</v>
      </c>
      <c r="K289" s="432">
        <v>-30</v>
      </c>
      <c r="L289" s="432">
        <v>90</v>
      </c>
      <c r="M289" s="432" t="s">
        <v>577</v>
      </c>
      <c r="N289" s="432">
        <v>70</v>
      </c>
      <c r="O289" s="431" t="s">
        <v>168</v>
      </c>
      <c r="P289" s="431" t="s">
        <v>168</v>
      </c>
      <c r="Q289" s="430">
        <f>C289*((100-Discounts!$B$15)/100)</f>
        <v>141.6</v>
      </c>
      <c r="R289" t="str">
        <f>IF(ISNUMBER(Table3[[#This Row],[Thickness]]), "Zenith", "")</f>
        <v>Zenith</v>
      </c>
      <c r="S289">
        <v>4</v>
      </c>
      <c r="T289">
        <v>200</v>
      </c>
    </row>
    <row r="290" spans="1:20" ht="27" thickBot="1" x14ac:dyDescent="0.9">
      <c r="A290" s="365"/>
      <c r="B290" s="366"/>
      <c r="C290" s="367"/>
      <c r="D290" s="367"/>
      <c r="E290" s="367"/>
      <c r="F290" s="368" t="s">
        <v>212</v>
      </c>
      <c r="G290" s="368">
        <v>0</v>
      </c>
      <c r="H290" s="327">
        <v>0</v>
      </c>
      <c r="I290" s="217" t="s">
        <v>777</v>
      </c>
      <c r="J290" t="s">
        <v>210</v>
      </c>
      <c r="K290">
        <v>-30</v>
      </c>
      <c r="L290">
        <v>90</v>
      </c>
      <c r="M290" s="352" t="s">
        <v>577</v>
      </c>
      <c r="N290" s="349">
        <v>70</v>
      </c>
      <c r="O290" s="327"/>
      <c r="P290" s="327"/>
      <c r="Q290" s="369" t="s">
        <v>323</v>
      </c>
      <c r="R290" t="str">
        <f>IF(ISNUMBER(Table3[[#This Row],[Thickness]]), "Zenith", "")</f>
        <v/>
      </c>
    </row>
    <row r="291" spans="1:20" ht="54" thickTop="1" thickBot="1" x14ac:dyDescent="0.9">
      <c r="A291" s="129" t="s">
        <v>322</v>
      </c>
      <c r="B291" s="298"/>
      <c r="C291" s="249" t="s">
        <v>179</v>
      </c>
      <c r="D291" s="313"/>
      <c r="E291" s="313"/>
      <c r="F291" s="247" t="s">
        <v>320</v>
      </c>
      <c r="G291" s="247" t="e">
        <v>#VALUE!</v>
      </c>
      <c r="H291" s="248" t="e">
        <v>#VALUE!</v>
      </c>
      <c r="I291" s="217" t="s">
        <v>777</v>
      </c>
      <c r="J291" t="s">
        <v>210</v>
      </c>
      <c r="M291" s="234"/>
      <c r="N291" s="230"/>
      <c r="O291" s="248" t="s">
        <v>171</v>
      </c>
      <c r="P291" s="248" t="s">
        <v>325</v>
      </c>
      <c r="Q291" s="248" t="s">
        <v>199</v>
      </c>
      <c r="R291" t="str">
        <f>IF(ISNUMBER(Table3[[#This Row],[Thickness]]), "Zenith", "")</f>
        <v/>
      </c>
    </row>
    <row r="292" spans="1:20" ht="27" thickTop="1" x14ac:dyDescent="0.85">
      <c r="A292" s="429" t="s">
        <v>381</v>
      </c>
      <c r="B292" s="429" t="s">
        <v>212</v>
      </c>
      <c r="C292" s="430">
        <v>13.25</v>
      </c>
      <c r="D292" s="430"/>
      <c r="E292" s="430" t="s">
        <v>757</v>
      </c>
      <c r="F292" s="431">
        <v>1</v>
      </c>
      <c r="G292" s="431">
        <v>1400</v>
      </c>
      <c r="H292" s="431">
        <v>20000</v>
      </c>
      <c r="I292" s="431" t="s">
        <v>777</v>
      </c>
      <c r="J292" s="432" t="s">
        <v>210</v>
      </c>
      <c r="K292" s="432">
        <v>-30</v>
      </c>
      <c r="L292" s="432">
        <v>90</v>
      </c>
      <c r="M292" s="432" t="s">
        <v>577</v>
      </c>
      <c r="N292" s="432">
        <v>65</v>
      </c>
      <c r="O292" s="431" t="s">
        <v>168</v>
      </c>
      <c r="P292" s="431" t="s">
        <v>168</v>
      </c>
      <c r="Q292" s="430">
        <f>C292*((100-Discounts!$B$16)/100)</f>
        <v>5.3000000000000007</v>
      </c>
      <c r="R292" t="str">
        <f>IF(ISNUMBER(Table3[[#This Row],[Thickness]]), "Zenith", "")</f>
        <v>Zenith</v>
      </c>
      <c r="S292">
        <v>6</v>
      </c>
      <c r="T292">
        <v>250</v>
      </c>
    </row>
    <row r="293" spans="1:20" x14ac:dyDescent="0.85">
      <c r="A293" s="433" t="s">
        <v>382</v>
      </c>
      <c r="B293" s="429" t="s">
        <v>212</v>
      </c>
      <c r="C293" s="434">
        <v>18.5</v>
      </c>
      <c r="D293" s="434"/>
      <c r="E293" s="430" t="s">
        <v>757</v>
      </c>
      <c r="F293" s="435">
        <v>1.5</v>
      </c>
      <c r="G293" s="435">
        <v>1400</v>
      </c>
      <c r="H293" s="435">
        <v>15000</v>
      </c>
      <c r="I293" s="431" t="s">
        <v>777</v>
      </c>
      <c r="J293" s="432" t="s">
        <v>210</v>
      </c>
      <c r="K293" s="432">
        <v>-30</v>
      </c>
      <c r="L293" s="432">
        <v>90</v>
      </c>
      <c r="M293" s="432" t="s">
        <v>577</v>
      </c>
      <c r="N293" s="432">
        <v>65</v>
      </c>
      <c r="O293" s="435" t="s">
        <v>168</v>
      </c>
      <c r="P293" s="435" t="s">
        <v>168</v>
      </c>
      <c r="Q293" s="434">
        <f>C293*((100-Discounts!$B$16)/100)</f>
        <v>7.4</v>
      </c>
      <c r="R293" t="str">
        <f>IF(ISNUMBER(Table3[[#This Row],[Thickness]]), "Zenith", "")</f>
        <v>Zenith</v>
      </c>
      <c r="S293">
        <v>6</v>
      </c>
      <c r="T293">
        <v>250</v>
      </c>
    </row>
    <row r="294" spans="1:20" x14ac:dyDescent="0.85">
      <c r="A294" s="429" t="s">
        <v>383</v>
      </c>
      <c r="B294" s="429" t="s">
        <v>212</v>
      </c>
      <c r="C294" s="430">
        <v>23.5</v>
      </c>
      <c r="D294" s="430"/>
      <c r="E294" s="430" t="s">
        <v>757</v>
      </c>
      <c r="F294" s="431">
        <v>2</v>
      </c>
      <c r="G294" s="431">
        <v>1400</v>
      </c>
      <c r="H294" s="431">
        <v>10000</v>
      </c>
      <c r="I294" s="431" t="s">
        <v>777</v>
      </c>
      <c r="J294" s="432" t="s">
        <v>210</v>
      </c>
      <c r="K294" s="432">
        <v>-30</v>
      </c>
      <c r="L294" s="432">
        <v>90</v>
      </c>
      <c r="M294" s="432" t="s">
        <v>577</v>
      </c>
      <c r="N294" s="432">
        <v>65</v>
      </c>
      <c r="O294" s="431" t="s">
        <v>168</v>
      </c>
      <c r="P294" s="431" t="s">
        <v>168</v>
      </c>
      <c r="Q294" s="430">
        <f>C294*((100-Discounts!$B$16)/100)</f>
        <v>9.4</v>
      </c>
      <c r="R294" t="str">
        <f>IF(ISNUMBER(Table3[[#This Row],[Thickness]]), "Zenith", "")</f>
        <v>Zenith</v>
      </c>
      <c r="S294">
        <v>6</v>
      </c>
      <c r="T294">
        <v>250</v>
      </c>
    </row>
    <row r="295" spans="1:20" x14ac:dyDescent="0.85">
      <c r="A295" s="433" t="s">
        <v>384</v>
      </c>
      <c r="B295" s="429" t="s">
        <v>212</v>
      </c>
      <c r="C295" s="434">
        <v>33.25</v>
      </c>
      <c r="D295" s="434"/>
      <c r="E295" s="430" t="s">
        <v>757</v>
      </c>
      <c r="F295" s="435">
        <v>3</v>
      </c>
      <c r="G295" s="435">
        <v>1400</v>
      </c>
      <c r="H295" s="435">
        <v>10000</v>
      </c>
      <c r="I295" s="431" t="s">
        <v>777</v>
      </c>
      <c r="J295" s="432" t="s">
        <v>210</v>
      </c>
      <c r="K295" s="432">
        <v>-30</v>
      </c>
      <c r="L295" s="432">
        <v>90</v>
      </c>
      <c r="M295" s="432" t="s">
        <v>577</v>
      </c>
      <c r="N295" s="432">
        <v>65</v>
      </c>
      <c r="O295" s="435" t="s">
        <v>168</v>
      </c>
      <c r="P295" s="435" t="s">
        <v>168</v>
      </c>
      <c r="Q295" s="434">
        <f>C295*((100-Discounts!$B$16)/100)</f>
        <v>13.3</v>
      </c>
      <c r="R295" t="str">
        <f>IF(ISNUMBER(Table3[[#This Row],[Thickness]]), "Zenith", "")</f>
        <v>Zenith</v>
      </c>
      <c r="S295">
        <v>6</v>
      </c>
      <c r="T295">
        <v>250</v>
      </c>
    </row>
    <row r="296" spans="1:20" x14ac:dyDescent="0.85">
      <c r="A296" s="429" t="s">
        <v>385</v>
      </c>
      <c r="B296" s="429" t="s">
        <v>212</v>
      </c>
      <c r="C296" s="430">
        <v>44.25</v>
      </c>
      <c r="D296" s="430"/>
      <c r="E296" s="430" t="s">
        <v>757</v>
      </c>
      <c r="F296" s="431">
        <v>4</v>
      </c>
      <c r="G296" s="431">
        <v>1400</v>
      </c>
      <c r="H296" s="431">
        <v>10000</v>
      </c>
      <c r="I296" s="431" t="s">
        <v>777</v>
      </c>
      <c r="J296" s="432" t="s">
        <v>210</v>
      </c>
      <c r="K296" s="432">
        <v>-30</v>
      </c>
      <c r="L296" s="432">
        <v>90</v>
      </c>
      <c r="M296" s="432" t="s">
        <v>577</v>
      </c>
      <c r="N296" s="432">
        <v>65</v>
      </c>
      <c r="O296" s="431" t="s">
        <v>168</v>
      </c>
      <c r="P296" s="431" t="s">
        <v>168</v>
      </c>
      <c r="Q296" s="430">
        <f>C296*((100-Discounts!$B$16)/100)</f>
        <v>17.7</v>
      </c>
      <c r="R296" t="str">
        <f>IF(ISNUMBER(Table3[[#This Row],[Thickness]]), "Zenith", "")</f>
        <v>Zenith</v>
      </c>
      <c r="S296">
        <v>6</v>
      </c>
      <c r="T296">
        <v>250</v>
      </c>
    </row>
    <row r="297" spans="1:20" x14ac:dyDescent="0.85">
      <c r="A297" s="433" t="s">
        <v>386</v>
      </c>
      <c r="B297" s="429" t="s">
        <v>212</v>
      </c>
      <c r="C297" s="434">
        <v>54.5</v>
      </c>
      <c r="D297" s="434"/>
      <c r="E297" s="430" t="s">
        <v>757</v>
      </c>
      <c r="F297" s="435">
        <v>5</v>
      </c>
      <c r="G297" s="435">
        <v>1400</v>
      </c>
      <c r="H297" s="435">
        <v>10000</v>
      </c>
      <c r="I297" s="431" t="s">
        <v>777</v>
      </c>
      <c r="J297" s="432" t="s">
        <v>210</v>
      </c>
      <c r="K297" s="432">
        <v>-30</v>
      </c>
      <c r="L297" s="432">
        <v>90</v>
      </c>
      <c r="M297" s="432" t="s">
        <v>577</v>
      </c>
      <c r="N297" s="432">
        <v>65</v>
      </c>
      <c r="O297" s="435" t="s">
        <v>168</v>
      </c>
      <c r="P297" s="435" t="s">
        <v>168</v>
      </c>
      <c r="Q297" s="434">
        <f>C297*((100-Discounts!$B$16)/100)</f>
        <v>21.8</v>
      </c>
      <c r="R297" t="str">
        <f>IF(ISNUMBER(Table3[[#This Row],[Thickness]]), "Zenith", "")</f>
        <v>Zenith</v>
      </c>
      <c r="S297">
        <v>6</v>
      </c>
      <c r="T297">
        <v>250</v>
      </c>
    </row>
    <row r="298" spans="1:20" x14ac:dyDescent="0.85">
      <c r="A298" s="429" t="s">
        <v>387</v>
      </c>
      <c r="B298" s="429" t="s">
        <v>212</v>
      </c>
      <c r="C298" s="430">
        <v>64.5</v>
      </c>
      <c r="D298" s="430"/>
      <c r="E298" s="430" t="s">
        <v>757</v>
      </c>
      <c r="F298" s="431">
        <v>6</v>
      </c>
      <c r="G298" s="431">
        <v>1400</v>
      </c>
      <c r="H298" s="431">
        <v>10000</v>
      </c>
      <c r="I298" s="431" t="s">
        <v>777</v>
      </c>
      <c r="J298" s="432" t="s">
        <v>210</v>
      </c>
      <c r="K298" s="432">
        <v>-30</v>
      </c>
      <c r="L298" s="432">
        <v>90</v>
      </c>
      <c r="M298" s="432" t="s">
        <v>577</v>
      </c>
      <c r="N298" s="432">
        <v>65</v>
      </c>
      <c r="O298" s="431" t="s">
        <v>168</v>
      </c>
      <c r="P298" s="431" t="s">
        <v>168</v>
      </c>
      <c r="Q298" s="430">
        <f>C298*((100-Discounts!$B$16)/100)</f>
        <v>25.8</v>
      </c>
      <c r="R298" t="str">
        <f>IF(ISNUMBER(Table3[[#This Row],[Thickness]]), "Zenith", "")</f>
        <v>Zenith</v>
      </c>
      <c r="S298">
        <v>6</v>
      </c>
      <c r="T298">
        <v>250</v>
      </c>
    </row>
    <row r="299" spans="1:20" x14ac:dyDescent="0.85">
      <c r="A299" s="433" t="s">
        <v>388</v>
      </c>
      <c r="B299" s="429" t="s">
        <v>212</v>
      </c>
      <c r="C299" s="434">
        <v>85</v>
      </c>
      <c r="D299" s="434"/>
      <c r="E299" s="430" t="s">
        <v>757</v>
      </c>
      <c r="F299" s="435">
        <v>8</v>
      </c>
      <c r="G299" s="435">
        <v>1400</v>
      </c>
      <c r="H299" s="435">
        <v>5000</v>
      </c>
      <c r="I299" s="431" t="s">
        <v>777</v>
      </c>
      <c r="J299" s="432" t="s">
        <v>210</v>
      </c>
      <c r="K299" s="432">
        <v>-30</v>
      </c>
      <c r="L299" s="432">
        <v>90</v>
      </c>
      <c r="M299" s="432" t="s">
        <v>577</v>
      </c>
      <c r="N299" s="432">
        <v>65</v>
      </c>
      <c r="O299" s="435" t="s">
        <v>168</v>
      </c>
      <c r="P299" s="435" t="s">
        <v>168</v>
      </c>
      <c r="Q299" s="434">
        <f>C299*((100-Discounts!$B$16)/100)</f>
        <v>34</v>
      </c>
      <c r="R299" t="str">
        <f>IF(ISNUMBER(Table3[[#This Row],[Thickness]]), "Zenith", "")</f>
        <v>Zenith</v>
      </c>
      <c r="S299">
        <v>6</v>
      </c>
      <c r="T299">
        <v>250</v>
      </c>
    </row>
    <row r="300" spans="1:20" x14ac:dyDescent="0.85">
      <c r="A300" s="429" t="s">
        <v>388</v>
      </c>
      <c r="B300" s="429" t="s">
        <v>212</v>
      </c>
      <c r="C300" s="430">
        <v>85</v>
      </c>
      <c r="D300" s="430"/>
      <c r="E300" s="430" t="s">
        <v>757</v>
      </c>
      <c r="F300" s="431">
        <v>8</v>
      </c>
      <c r="G300" s="431">
        <v>1400</v>
      </c>
      <c r="H300" s="431">
        <v>10000</v>
      </c>
      <c r="I300" s="431" t="s">
        <v>777</v>
      </c>
      <c r="J300" s="432" t="s">
        <v>210</v>
      </c>
      <c r="K300" s="432">
        <v>-30</v>
      </c>
      <c r="L300" s="432">
        <v>90</v>
      </c>
      <c r="M300" s="432" t="s">
        <v>577</v>
      </c>
      <c r="N300" s="432">
        <v>65</v>
      </c>
      <c r="O300" s="431" t="s">
        <v>168</v>
      </c>
      <c r="P300" s="431" t="s">
        <v>168</v>
      </c>
      <c r="Q300" s="430">
        <f>C300*((100-Discounts!$B$16)/100)</f>
        <v>34</v>
      </c>
      <c r="R300" t="str">
        <f>IF(ISNUMBER(Table3[[#This Row],[Thickness]]), "Zenith", "")</f>
        <v>Zenith</v>
      </c>
      <c r="S300">
        <v>6</v>
      </c>
      <c r="T300">
        <v>250</v>
      </c>
    </row>
    <row r="301" spans="1:20" x14ac:dyDescent="0.85">
      <c r="A301" s="433" t="s">
        <v>389</v>
      </c>
      <c r="B301" s="429" t="s">
        <v>212</v>
      </c>
      <c r="C301" s="434">
        <v>105</v>
      </c>
      <c r="D301" s="434"/>
      <c r="E301" s="430" t="s">
        <v>757</v>
      </c>
      <c r="F301" s="435">
        <v>10</v>
      </c>
      <c r="G301" s="435">
        <v>1400</v>
      </c>
      <c r="H301" s="435">
        <v>5000</v>
      </c>
      <c r="I301" s="431" t="s">
        <v>777</v>
      </c>
      <c r="J301" s="432" t="s">
        <v>210</v>
      </c>
      <c r="K301" s="432">
        <v>-30</v>
      </c>
      <c r="L301" s="432">
        <v>90</v>
      </c>
      <c r="M301" s="432" t="s">
        <v>577</v>
      </c>
      <c r="N301" s="432">
        <v>65</v>
      </c>
      <c r="O301" s="435" t="s">
        <v>168</v>
      </c>
      <c r="P301" s="435" t="s">
        <v>168</v>
      </c>
      <c r="Q301" s="434">
        <f>C301*((100-Discounts!$B$16)/100)</f>
        <v>42</v>
      </c>
      <c r="R301" t="str">
        <f>IF(ISNUMBER(Table3[[#This Row],[Thickness]]), "Zenith", "")</f>
        <v>Zenith</v>
      </c>
      <c r="S301">
        <v>6</v>
      </c>
      <c r="T301">
        <v>250</v>
      </c>
    </row>
    <row r="302" spans="1:20" x14ac:dyDescent="0.85">
      <c r="A302" s="429" t="s">
        <v>389</v>
      </c>
      <c r="B302" s="429" t="s">
        <v>212</v>
      </c>
      <c r="C302" s="430">
        <v>105</v>
      </c>
      <c r="D302" s="430"/>
      <c r="E302" s="430" t="s">
        <v>757</v>
      </c>
      <c r="F302" s="431">
        <v>10</v>
      </c>
      <c r="G302" s="431">
        <v>1400</v>
      </c>
      <c r="H302" s="431">
        <v>10000</v>
      </c>
      <c r="I302" s="431" t="s">
        <v>777</v>
      </c>
      <c r="J302" s="432" t="s">
        <v>210</v>
      </c>
      <c r="K302" s="432">
        <v>-30</v>
      </c>
      <c r="L302" s="432">
        <v>90</v>
      </c>
      <c r="M302" s="432" t="s">
        <v>577</v>
      </c>
      <c r="N302" s="432">
        <v>65</v>
      </c>
      <c r="O302" s="431" t="s">
        <v>168</v>
      </c>
      <c r="P302" s="431" t="s">
        <v>168</v>
      </c>
      <c r="Q302" s="430">
        <f>C302*((100-Discounts!$B$16)/100)</f>
        <v>42</v>
      </c>
      <c r="R302" t="str">
        <f>IF(ISNUMBER(Table3[[#This Row],[Thickness]]), "Zenith", "")</f>
        <v>Zenith</v>
      </c>
      <c r="S302">
        <v>6</v>
      </c>
      <c r="T302">
        <v>250</v>
      </c>
    </row>
    <row r="303" spans="1:20" ht="27" thickBot="1" x14ac:dyDescent="0.9">
      <c r="A303" s="365"/>
      <c r="B303" s="366"/>
      <c r="C303" s="367"/>
      <c r="D303" s="367"/>
      <c r="E303" s="367"/>
      <c r="F303" s="368" t="s">
        <v>213</v>
      </c>
      <c r="G303" s="368">
        <v>0</v>
      </c>
      <c r="H303" s="327">
        <v>0</v>
      </c>
      <c r="I303" s="217" t="s">
        <v>777</v>
      </c>
      <c r="J303" t="s">
        <v>210</v>
      </c>
      <c r="M303" s="352"/>
      <c r="N303" s="349"/>
      <c r="O303" s="327"/>
      <c r="P303" s="327"/>
      <c r="Q303" s="369" t="s">
        <v>323</v>
      </c>
      <c r="R303" t="str">
        <f>IF(ISNUMBER(Table3[[#This Row],[Thickness]]), "Zenith", "")</f>
        <v/>
      </c>
    </row>
    <row r="304" spans="1:20" ht="54" thickTop="1" thickBot="1" x14ac:dyDescent="0.9">
      <c r="A304" s="129" t="s">
        <v>322</v>
      </c>
      <c r="B304" s="298"/>
      <c r="C304" s="249" t="s">
        <v>179</v>
      </c>
      <c r="D304" s="313"/>
      <c r="E304" s="313"/>
      <c r="F304" s="247" t="s">
        <v>320</v>
      </c>
      <c r="G304" s="247" t="e">
        <v>#VALUE!</v>
      </c>
      <c r="H304" s="248" t="e">
        <v>#VALUE!</v>
      </c>
      <c r="I304" s="217" t="s">
        <v>777</v>
      </c>
      <c r="J304" t="s">
        <v>210</v>
      </c>
      <c r="M304" s="231"/>
      <c r="N304" s="233"/>
      <c r="O304" s="248" t="s">
        <v>171</v>
      </c>
      <c r="P304" s="248" t="s">
        <v>325</v>
      </c>
      <c r="Q304" s="248" t="s">
        <v>199</v>
      </c>
      <c r="R304" t="str">
        <f>IF(ISNUMBER(Table3[[#This Row],[Thickness]]), "Zenith", "")</f>
        <v/>
      </c>
    </row>
    <row r="305" spans="1:20" ht="27" thickTop="1" x14ac:dyDescent="0.85">
      <c r="A305" s="429" t="s">
        <v>390</v>
      </c>
      <c r="B305" s="429" t="s">
        <v>213</v>
      </c>
      <c r="C305" s="430">
        <v>11.25</v>
      </c>
      <c r="D305" s="430"/>
      <c r="E305" s="430" t="s">
        <v>757</v>
      </c>
      <c r="F305" s="431">
        <v>0.5</v>
      </c>
      <c r="G305" s="431">
        <v>1400</v>
      </c>
      <c r="H305" s="431">
        <v>20000</v>
      </c>
      <c r="I305" s="431" t="s">
        <v>777</v>
      </c>
      <c r="J305" s="432" t="s">
        <v>210</v>
      </c>
      <c r="K305" s="432">
        <v>-30</v>
      </c>
      <c r="L305" s="432">
        <v>130</v>
      </c>
      <c r="M305" s="432" t="s">
        <v>577</v>
      </c>
      <c r="N305" s="432">
        <v>65</v>
      </c>
      <c r="O305" s="431" t="s">
        <v>168</v>
      </c>
      <c r="P305" s="431" t="s">
        <v>168</v>
      </c>
      <c r="Q305" s="430">
        <f>C305*((100-Discounts!$B$17)/100)</f>
        <v>3.9374999999999996</v>
      </c>
      <c r="R305" t="str">
        <f>IF(ISNUMBER(Table3[[#This Row],[Thickness]]), "Zenith", "")</f>
        <v>Zenith</v>
      </c>
      <c r="S305">
        <v>8</v>
      </c>
      <c r="T305">
        <v>350</v>
      </c>
    </row>
    <row r="306" spans="1:20" x14ac:dyDescent="0.85">
      <c r="A306" s="433" t="s">
        <v>50</v>
      </c>
      <c r="B306" s="429" t="s">
        <v>213</v>
      </c>
      <c r="C306" s="434">
        <v>16.5</v>
      </c>
      <c r="D306" s="434"/>
      <c r="E306" s="430" t="s">
        <v>757</v>
      </c>
      <c r="F306" s="435">
        <v>1</v>
      </c>
      <c r="G306" s="435">
        <v>1400</v>
      </c>
      <c r="H306" s="435">
        <v>20000</v>
      </c>
      <c r="I306" s="431" t="s">
        <v>777</v>
      </c>
      <c r="J306" s="432" t="s">
        <v>210</v>
      </c>
      <c r="K306" s="432">
        <v>-30</v>
      </c>
      <c r="L306" s="432">
        <v>130</v>
      </c>
      <c r="M306" s="432" t="s">
        <v>577</v>
      </c>
      <c r="N306" s="432">
        <v>65</v>
      </c>
      <c r="O306" s="435" t="s">
        <v>168</v>
      </c>
      <c r="P306" s="435" t="s">
        <v>168</v>
      </c>
      <c r="Q306" s="434">
        <f>C306*((100-Discounts!$B$17)/100)</f>
        <v>5.7749999999999995</v>
      </c>
      <c r="R306" t="str">
        <f>IF(ISNUMBER(Table3[[#This Row],[Thickness]]), "Zenith", "")</f>
        <v>Zenith</v>
      </c>
      <c r="S306">
        <v>8</v>
      </c>
      <c r="T306">
        <v>350</v>
      </c>
    </row>
    <row r="307" spans="1:20" x14ac:dyDescent="0.85">
      <c r="A307" s="429" t="s">
        <v>51</v>
      </c>
      <c r="B307" s="429" t="s">
        <v>213</v>
      </c>
      <c r="C307" s="430">
        <v>30</v>
      </c>
      <c r="D307" s="430"/>
      <c r="E307" s="430" t="s">
        <v>757</v>
      </c>
      <c r="F307" s="431">
        <v>2</v>
      </c>
      <c r="G307" s="431">
        <v>1400</v>
      </c>
      <c r="H307" s="431">
        <v>10000</v>
      </c>
      <c r="I307" s="431" t="s">
        <v>777</v>
      </c>
      <c r="J307" s="432" t="s">
        <v>210</v>
      </c>
      <c r="K307" s="432">
        <v>-30</v>
      </c>
      <c r="L307" s="432">
        <v>130</v>
      </c>
      <c r="M307" s="432" t="s">
        <v>577</v>
      </c>
      <c r="N307" s="432">
        <v>65</v>
      </c>
      <c r="O307" s="431" t="s">
        <v>168</v>
      </c>
      <c r="P307" s="431" t="s">
        <v>168</v>
      </c>
      <c r="Q307" s="430">
        <f>C307*((100-Discounts!$B$17)/100)</f>
        <v>10.5</v>
      </c>
      <c r="R307" t="str">
        <f>IF(ISNUMBER(Table3[[#This Row],[Thickness]]), "Zenith", "")</f>
        <v>Zenith</v>
      </c>
      <c r="S307">
        <v>8</v>
      </c>
      <c r="T307">
        <v>350</v>
      </c>
    </row>
    <row r="308" spans="1:20" x14ac:dyDescent="0.85">
      <c r="A308" s="433" t="s">
        <v>52</v>
      </c>
      <c r="B308" s="429" t="s">
        <v>213</v>
      </c>
      <c r="C308" s="434">
        <v>43.25</v>
      </c>
      <c r="D308" s="434"/>
      <c r="E308" s="430" t="s">
        <v>757</v>
      </c>
      <c r="F308" s="435">
        <v>3</v>
      </c>
      <c r="G308" s="435">
        <v>1400</v>
      </c>
      <c r="H308" s="435">
        <v>10000</v>
      </c>
      <c r="I308" s="431" t="s">
        <v>777</v>
      </c>
      <c r="J308" s="432" t="s">
        <v>210</v>
      </c>
      <c r="K308" s="432">
        <v>-30</v>
      </c>
      <c r="L308" s="432">
        <v>130</v>
      </c>
      <c r="M308" s="432" t="s">
        <v>577</v>
      </c>
      <c r="N308" s="432">
        <v>65</v>
      </c>
      <c r="O308" s="435" t="s">
        <v>168</v>
      </c>
      <c r="P308" s="435" t="s">
        <v>168</v>
      </c>
      <c r="Q308" s="434">
        <f>C308*((100-Discounts!$B$17)/100)</f>
        <v>15.137499999999999</v>
      </c>
      <c r="R308" t="str">
        <f>IF(ISNUMBER(Table3[[#This Row],[Thickness]]), "Zenith", "")</f>
        <v>Zenith</v>
      </c>
      <c r="S308">
        <v>8</v>
      </c>
      <c r="T308">
        <v>350</v>
      </c>
    </row>
    <row r="309" spans="1:20" x14ac:dyDescent="0.85">
      <c r="A309" s="429" t="s">
        <v>53</v>
      </c>
      <c r="B309" s="429" t="s">
        <v>213</v>
      </c>
      <c r="C309" s="430">
        <v>57.75</v>
      </c>
      <c r="D309" s="430"/>
      <c r="E309" s="430" t="s">
        <v>757</v>
      </c>
      <c r="F309" s="431">
        <v>4</v>
      </c>
      <c r="G309" s="431">
        <v>1400</v>
      </c>
      <c r="H309" s="431">
        <v>10000</v>
      </c>
      <c r="I309" s="431" t="s">
        <v>777</v>
      </c>
      <c r="J309" s="432" t="s">
        <v>210</v>
      </c>
      <c r="K309" s="432">
        <v>-30</v>
      </c>
      <c r="L309" s="432">
        <v>130</v>
      </c>
      <c r="M309" s="432" t="s">
        <v>577</v>
      </c>
      <c r="N309" s="432">
        <v>65</v>
      </c>
      <c r="O309" s="431" t="s">
        <v>168</v>
      </c>
      <c r="P309" s="431" t="s">
        <v>168</v>
      </c>
      <c r="Q309" s="430">
        <f>C309*((100-Discounts!$B$17)/100)</f>
        <v>20.212499999999999</v>
      </c>
      <c r="R309" t="str">
        <f>IF(ISNUMBER(Table3[[#This Row],[Thickness]]), "Zenith", "")</f>
        <v>Zenith</v>
      </c>
      <c r="S309">
        <v>8</v>
      </c>
      <c r="T309">
        <v>350</v>
      </c>
    </row>
    <row r="310" spans="1:20" x14ac:dyDescent="0.85">
      <c r="A310" s="433" t="s">
        <v>54</v>
      </c>
      <c r="B310" s="429" t="s">
        <v>213</v>
      </c>
      <c r="C310" s="434">
        <v>70.75</v>
      </c>
      <c r="D310" s="434"/>
      <c r="E310" s="430" t="s">
        <v>757</v>
      </c>
      <c r="F310" s="435">
        <v>5</v>
      </c>
      <c r="G310" s="435">
        <v>1400</v>
      </c>
      <c r="H310" s="435">
        <v>10000</v>
      </c>
      <c r="I310" s="431" t="s">
        <v>777</v>
      </c>
      <c r="J310" s="432" t="s">
        <v>210</v>
      </c>
      <c r="K310" s="432">
        <v>-30</v>
      </c>
      <c r="L310" s="432">
        <v>130</v>
      </c>
      <c r="M310" s="432" t="s">
        <v>577</v>
      </c>
      <c r="N310" s="432">
        <v>65</v>
      </c>
      <c r="O310" s="435" t="s">
        <v>168</v>
      </c>
      <c r="P310" s="435" t="s">
        <v>168</v>
      </c>
      <c r="Q310" s="434">
        <f>C310*((100-Discounts!$B$17)/100)</f>
        <v>24.762499999999999</v>
      </c>
      <c r="R310" t="str">
        <f>IF(ISNUMBER(Table3[[#This Row],[Thickness]]), "Zenith", "")</f>
        <v>Zenith</v>
      </c>
      <c r="S310">
        <v>8</v>
      </c>
      <c r="T310">
        <v>350</v>
      </c>
    </row>
    <row r="311" spans="1:20" x14ac:dyDescent="0.85">
      <c r="A311" s="429" t="s">
        <v>55</v>
      </c>
      <c r="B311" s="429" t="s">
        <v>213</v>
      </c>
      <c r="C311" s="430">
        <v>83.25</v>
      </c>
      <c r="D311" s="430"/>
      <c r="E311" s="430" t="s">
        <v>757</v>
      </c>
      <c r="F311" s="431">
        <v>6</v>
      </c>
      <c r="G311" s="431">
        <v>1400</v>
      </c>
      <c r="H311" s="431">
        <v>10000</v>
      </c>
      <c r="I311" s="431" t="s">
        <v>777</v>
      </c>
      <c r="J311" s="432" t="s">
        <v>210</v>
      </c>
      <c r="K311" s="432">
        <v>-30</v>
      </c>
      <c r="L311" s="432">
        <v>130</v>
      </c>
      <c r="M311" s="432" t="s">
        <v>577</v>
      </c>
      <c r="N311" s="432">
        <v>65</v>
      </c>
      <c r="O311" s="431" t="s">
        <v>168</v>
      </c>
      <c r="P311" s="431" t="s">
        <v>168</v>
      </c>
      <c r="Q311" s="430">
        <f>C311*((100-Discounts!$B$17)/100)</f>
        <v>29.137499999999999</v>
      </c>
      <c r="R311" t="str">
        <f>IF(ISNUMBER(Table3[[#This Row],[Thickness]]), "Zenith", "")</f>
        <v>Zenith</v>
      </c>
      <c r="S311">
        <v>8</v>
      </c>
      <c r="T311">
        <v>350</v>
      </c>
    </row>
    <row r="312" spans="1:20" x14ac:dyDescent="0.85">
      <c r="A312" s="433" t="s">
        <v>56</v>
      </c>
      <c r="B312" s="429" t="s">
        <v>213</v>
      </c>
      <c r="C312" s="434">
        <v>111</v>
      </c>
      <c r="D312" s="434"/>
      <c r="E312" s="430" t="s">
        <v>757</v>
      </c>
      <c r="F312" s="435">
        <v>8</v>
      </c>
      <c r="G312" s="435">
        <v>1400</v>
      </c>
      <c r="H312" s="435">
        <v>5000</v>
      </c>
      <c r="I312" s="431" t="s">
        <v>777</v>
      </c>
      <c r="J312" s="432" t="s">
        <v>210</v>
      </c>
      <c r="K312" s="432">
        <v>-30</v>
      </c>
      <c r="L312" s="432">
        <v>130</v>
      </c>
      <c r="M312" s="432" t="s">
        <v>577</v>
      </c>
      <c r="N312" s="432">
        <v>65</v>
      </c>
      <c r="O312" s="435" t="s">
        <v>168</v>
      </c>
      <c r="P312" s="435" t="s">
        <v>168</v>
      </c>
      <c r="Q312" s="434">
        <f>C312*((100-Discounts!$B$17)/100)</f>
        <v>38.849999999999994</v>
      </c>
      <c r="R312" t="str">
        <f>IF(ISNUMBER(Table3[[#This Row],[Thickness]]), "Zenith", "")</f>
        <v>Zenith</v>
      </c>
      <c r="S312">
        <v>8</v>
      </c>
      <c r="T312">
        <v>350</v>
      </c>
    </row>
    <row r="313" spans="1:20" x14ac:dyDescent="0.85">
      <c r="A313" s="429" t="s">
        <v>57</v>
      </c>
      <c r="B313" s="429" t="s">
        <v>213</v>
      </c>
      <c r="C313" s="430">
        <v>136</v>
      </c>
      <c r="D313" s="430"/>
      <c r="E313" s="430" t="s">
        <v>757</v>
      </c>
      <c r="F313" s="431">
        <v>8</v>
      </c>
      <c r="G313" s="431">
        <v>1400</v>
      </c>
      <c r="H313" s="431">
        <v>10000</v>
      </c>
      <c r="I313" s="431" t="s">
        <v>777</v>
      </c>
      <c r="J313" s="432" t="s">
        <v>210</v>
      </c>
      <c r="K313" s="432">
        <v>-30</v>
      </c>
      <c r="L313" s="432">
        <v>130</v>
      </c>
      <c r="M313" s="432" t="s">
        <v>577</v>
      </c>
      <c r="N313" s="432">
        <v>65</v>
      </c>
      <c r="O313" s="431" t="s">
        <v>168</v>
      </c>
      <c r="P313" s="431" t="s">
        <v>168</v>
      </c>
      <c r="Q313" s="430">
        <f>C313*((100-Discounts!$B$17)/100)</f>
        <v>47.599999999999994</v>
      </c>
      <c r="R313" t="str">
        <f>IF(ISNUMBER(Table3[[#This Row],[Thickness]]), "Zenith", "")</f>
        <v>Zenith</v>
      </c>
      <c r="S313">
        <v>8</v>
      </c>
      <c r="T313">
        <v>350</v>
      </c>
    </row>
    <row r="314" spans="1:20" x14ac:dyDescent="0.85">
      <c r="A314" s="433" t="s">
        <v>57</v>
      </c>
      <c r="B314" s="429" t="s">
        <v>213</v>
      </c>
      <c r="C314" s="434">
        <v>136</v>
      </c>
      <c r="D314" s="434"/>
      <c r="E314" s="430" t="s">
        <v>757</v>
      </c>
      <c r="F314" s="435">
        <v>10</v>
      </c>
      <c r="G314" s="435">
        <v>1400</v>
      </c>
      <c r="H314" s="435">
        <v>5000</v>
      </c>
      <c r="I314" s="431" t="s">
        <v>777</v>
      </c>
      <c r="J314" s="432" t="s">
        <v>210</v>
      </c>
      <c r="K314" s="432">
        <v>-30</v>
      </c>
      <c r="L314" s="432">
        <v>130</v>
      </c>
      <c r="M314" s="432" t="s">
        <v>577</v>
      </c>
      <c r="N314" s="432">
        <v>65</v>
      </c>
      <c r="O314" s="435" t="s">
        <v>168</v>
      </c>
      <c r="P314" s="435" t="s">
        <v>168</v>
      </c>
      <c r="Q314" s="434">
        <f>C314*((100-Discounts!$B$17)/100)</f>
        <v>47.599999999999994</v>
      </c>
      <c r="R314" t="str">
        <f>IF(ISNUMBER(Table3[[#This Row],[Thickness]]), "Zenith", "")</f>
        <v>Zenith</v>
      </c>
      <c r="S314">
        <v>8</v>
      </c>
      <c r="T314">
        <v>350</v>
      </c>
    </row>
    <row r="315" spans="1:20" x14ac:dyDescent="0.85">
      <c r="A315" s="429" t="s">
        <v>57</v>
      </c>
      <c r="B315" s="429" t="s">
        <v>213</v>
      </c>
      <c r="C315" s="430">
        <v>136</v>
      </c>
      <c r="D315" s="430"/>
      <c r="E315" s="430" t="s">
        <v>757</v>
      </c>
      <c r="F315" s="431">
        <v>10</v>
      </c>
      <c r="G315" s="431">
        <v>1400</v>
      </c>
      <c r="H315" s="431">
        <v>10000</v>
      </c>
      <c r="I315" s="431" t="s">
        <v>777</v>
      </c>
      <c r="J315" s="432" t="s">
        <v>210</v>
      </c>
      <c r="K315" s="432">
        <v>-30</v>
      </c>
      <c r="L315" s="432">
        <v>130</v>
      </c>
      <c r="M315" s="432" t="s">
        <v>577</v>
      </c>
      <c r="N315" s="432">
        <v>65</v>
      </c>
      <c r="O315" s="431" t="s">
        <v>168</v>
      </c>
      <c r="P315" s="431" t="s">
        <v>168</v>
      </c>
      <c r="Q315" s="430">
        <f>C315*((100-Discounts!$B$17)/100)</f>
        <v>47.599999999999994</v>
      </c>
      <c r="R315" t="str">
        <f>IF(ISNUMBER(Table3[[#This Row],[Thickness]]), "Zenith", "")</f>
        <v>Zenith</v>
      </c>
      <c r="S315">
        <v>8</v>
      </c>
      <c r="T315">
        <v>350</v>
      </c>
    </row>
    <row r="316" spans="1:20" ht="27" thickBot="1" x14ac:dyDescent="0.9">
      <c r="A316" s="365"/>
      <c r="B316" s="366"/>
      <c r="C316" s="367"/>
      <c r="D316" s="367"/>
      <c r="E316" s="367"/>
      <c r="F316" s="368" t="s">
        <v>391</v>
      </c>
      <c r="G316" s="368">
        <v>0</v>
      </c>
      <c r="H316" s="327">
        <v>0</v>
      </c>
      <c r="I316" s="217" t="s">
        <v>777</v>
      </c>
      <c r="J316" t="s">
        <v>210</v>
      </c>
      <c r="M316" s="348"/>
      <c r="N316" s="343"/>
      <c r="O316" s="327"/>
      <c r="P316" s="327"/>
      <c r="Q316" s="369" t="s">
        <v>323</v>
      </c>
      <c r="R316" t="str">
        <f>IF(ISNUMBER(Table3[[#This Row],[Thickness]]), "Zenith", "")</f>
        <v/>
      </c>
    </row>
    <row r="317" spans="1:20" ht="54" thickTop="1" thickBot="1" x14ac:dyDescent="0.9">
      <c r="A317" s="129" t="s">
        <v>322</v>
      </c>
      <c r="B317" s="298"/>
      <c r="C317" s="249" t="s">
        <v>179</v>
      </c>
      <c r="D317" s="313"/>
      <c r="E317" s="313"/>
      <c r="F317" s="247" t="s">
        <v>320</v>
      </c>
      <c r="G317" s="247" t="e">
        <v>#VALUE!</v>
      </c>
      <c r="H317" s="248" t="e">
        <v>#VALUE!</v>
      </c>
      <c r="I317" s="217" t="s">
        <v>777</v>
      </c>
      <c r="J317" t="s">
        <v>210</v>
      </c>
      <c r="M317" s="234"/>
      <c r="N317" s="230"/>
      <c r="O317" s="248" t="s">
        <v>171</v>
      </c>
      <c r="P317" s="248" t="s">
        <v>325</v>
      </c>
      <c r="Q317" s="248" t="s">
        <v>199</v>
      </c>
      <c r="R317" t="str">
        <f>IF(ISNUMBER(Table3[[#This Row],[Thickness]]), "Zenith", "")</f>
        <v/>
      </c>
    </row>
    <row r="318" spans="1:20" ht="27" thickTop="1" x14ac:dyDescent="0.85">
      <c r="A318" s="429" t="s">
        <v>319</v>
      </c>
      <c r="B318" s="429" t="s">
        <v>391</v>
      </c>
      <c r="C318" s="430">
        <v>11</v>
      </c>
      <c r="D318" s="430"/>
      <c r="E318" s="430" t="s">
        <v>757</v>
      </c>
      <c r="F318" s="431">
        <v>1</v>
      </c>
      <c r="G318" s="431">
        <v>1400</v>
      </c>
      <c r="H318" s="431">
        <v>10000</v>
      </c>
      <c r="I318" s="431" t="s">
        <v>777</v>
      </c>
      <c r="J318" s="432" t="s">
        <v>210</v>
      </c>
      <c r="K318" s="432">
        <v>-30</v>
      </c>
      <c r="L318" s="432">
        <v>90</v>
      </c>
      <c r="M318" s="432" t="s">
        <v>577</v>
      </c>
      <c r="N318" s="432">
        <v>50</v>
      </c>
      <c r="O318" s="431" t="s">
        <v>168</v>
      </c>
      <c r="P318" s="431" t="s">
        <v>168</v>
      </c>
      <c r="Q318" s="430">
        <f>C318*((100-Discounts!$B$18)/100)</f>
        <v>4.62</v>
      </c>
      <c r="R318" t="str">
        <f>IF(ISNUMBER(Table3[[#This Row],[Thickness]]), "Zenith", "")</f>
        <v>Zenith</v>
      </c>
      <c r="S318">
        <v>4</v>
      </c>
      <c r="T318">
        <v>200</v>
      </c>
    </row>
    <row r="319" spans="1:20" x14ac:dyDescent="0.85">
      <c r="A319" s="433" t="s">
        <v>102</v>
      </c>
      <c r="B319" s="429" t="s">
        <v>391</v>
      </c>
      <c r="C319" s="434">
        <v>19</v>
      </c>
      <c r="D319" s="434"/>
      <c r="E319" s="430" t="s">
        <v>757</v>
      </c>
      <c r="F319" s="435">
        <v>2</v>
      </c>
      <c r="G319" s="435">
        <v>1400</v>
      </c>
      <c r="H319" s="435">
        <v>10000</v>
      </c>
      <c r="I319" s="431" t="s">
        <v>777</v>
      </c>
      <c r="J319" s="432" t="s">
        <v>210</v>
      </c>
      <c r="K319" s="432">
        <v>-30</v>
      </c>
      <c r="L319" s="432">
        <v>90</v>
      </c>
      <c r="M319" s="432" t="s">
        <v>577</v>
      </c>
      <c r="N319" s="432">
        <v>50</v>
      </c>
      <c r="O319" s="435" t="s">
        <v>168</v>
      </c>
      <c r="P319" s="435" t="s">
        <v>168</v>
      </c>
      <c r="Q319" s="434">
        <f>C319*((100-Discounts!$B$18)/100)</f>
        <v>7.9799999999999995</v>
      </c>
      <c r="R319" t="str">
        <f>IF(ISNUMBER(Table3[[#This Row],[Thickness]]), "Zenith", "")</f>
        <v>Zenith</v>
      </c>
      <c r="S319">
        <v>4</v>
      </c>
      <c r="T319">
        <v>200</v>
      </c>
    </row>
    <row r="320" spans="1:20" x14ac:dyDescent="0.85">
      <c r="A320" s="429" t="s">
        <v>392</v>
      </c>
      <c r="B320" s="429" t="s">
        <v>391</v>
      </c>
      <c r="C320" s="430">
        <v>23.75</v>
      </c>
      <c r="D320" s="430"/>
      <c r="E320" s="430" t="s">
        <v>757</v>
      </c>
      <c r="F320" s="431">
        <v>2.5</v>
      </c>
      <c r="G320" s="431">
        <v>1400</v>
      </c>
      <c r="H320" s="431">
        <v>10000</v>
      </c>
      <c r="I320" s="431" t="s">
        <v>777</v>
      </c>
      <c r="J320" s="432" t="s">
        <v>210</v>
      </c>
      <c r="K320" s="432">
        <v>-30</v>
      </c>
      <c r="L320" s="432">
        <v>90</v>
      </c>
      <c r="M320" s="432" t="s">
        <v>577</v>
      </c>
      <c r="N320" s="432">
        <v>50</v>
      </c>
      <c r="O320" s="431" t="s">
        <v>168</v>
      </c>
      <c r="P320" s="431" t="s">
        <v>168</v>
      </c>
      <c r="Q320" s="430">
        <f>C320*((100-Discounts!$B$18)/100)</f>
        <v>9.9749999999999996</v>
      </c>
      <c r="R320" t="str">
        <f>IF(ISNUMBER(Table3[[#This Row],[Thickness]]), "Zenith", "")</f>
        <v>Zenith</v>
      </c>
      <c r="S320">
        <v>4</v>
      </c>
      <c r="T320">
        <v>200</v>
      </c>
    </row>
    <row r="321" spans="1:20" x14ac:dyDescent="0.85">
      <c r="A321" s="433" t="s">
        <v>103</v>
      </c>
      <c r="B321" s="429" t="s">
        <v>391</v>
      </c>
      <c r="C321" s="434">
        <v>26.75</v>
      </c>
      <c r="D321" s="434"/>
      <c r="E321" s="430" t="s">
        <v>757</v>
      </c>
      <c r="F321" s="435">
        <v>3</v>
      </c>
      <c r="G321" s="435">
        <v>1400</v>
      </c>
      <c r="H321" s="435">
        <v>10000</v>
      </c>
      <c r="I321" s="431" t="s">
        <v>777</v>
      </c>
      <c r="J321" s="432" t="s">
        <v>210</v>
      </c>
      <c r="K321" s="432">
        <v>-30</v>
      </c>
      <c r="L321" s="432">
        <v>90</v>
      </c>
      <c r="M321" s="432" t="s">
        <v>577</v>
      </c>
      <c r="N321" s="432">
        <v>50</v>
      </c>
      <c r="O321" s="435" t="s">
        <v>168</v>
      </c>
      <c r="P321" s="435" t="s">
        <v>168</v>
      </c>
      <c r="Q321" s="434">
        <f>C321*((100-Discounts!$B$18)/100)</f>
        <v>11.234999999999999</v>
      </c>
      <c r="R321" t="str">
        <f>IF(ISNUMBER(Table3[[#This Row],[Thickness]]), "Zenith", "")</f>
        <v>Zenith</v>
      </c>
      <c r="S321">
        <v>4</v>
      </c>
      <c r="T321">
        <v>200</v>
      </c>
    </row>
    <row r="322" spans="1:20" x14ac:dyDescent="0.85">
      <c r="A322" s="429" t="s">
        <v>104</v>
      </c>
      <c r="B322" s="429" t="s">
        <v>391</v>
      </c>
      <c r="C322" s="430">
        <v>35.5</v>
      </c>
      <c r="D322" s="430"/>
      <c r="E322" s="430" t="s">
        <v>757</v>
      </c>
      <c r="F322" s="431">
        <v>4</v>
      </c>
      <c r="G322" s="431">
        <v>1400</v>
      </c>
      <c r="H322" s="431">
        <v>10000</v>
      </c>
      <c r="I322" s="431" t="s">
        <v>777</v>
      </c>
      <c r="J322" s="432" t="s">
        <v>210</v>
      </c>
      <c r="K322" s="432">
        <v>-30</v>
      </c>
      <c r="L322" s="432">
        <v>90</v>
      </c>
      <c r="M322" s="432" t="s">
        <v>577</v>
      </c>
      <c r="N322" s="432">
        <v>50</v>
      </c>
      <c r="O322" s="431" t="s">
        <v>168</v>
      </c>
      <c r="P322" s="431" t="s">
        <v>168</v>
      </c>
      <c r="Q322" s="430">
        <f>C322*((100-Discounts!$B$18)/100)</f>
        <v>14.91</v>
      </c>
      <c r="R322" t="str">
        <f>IF(ISNUMBER(Table3[[#This Row],[Thickness]]), "Zenith", "")</f>
        <v>Zenith</v>
      </c>
      <c r="S322">
        <v>4</v>
      </c>
      <c r="T322">
        <v>200</v>
      </c>
    </row>
    <row r="323" spans="1:20" x14ac:dyDescent="0.85">
      <c r="A323" s="433" t="s">
        <v>105</v>
      </c>
      <c r="B323" s="429" t="s">
        <v>391</v>
      </c>
      <c r="C323" s="434">
        <v>43.5</v>
      </c>
      <c r="D323" s="434"/>
      <c r="E323" s="430" t="s">
        <v>757</v>
      </c>
      <c r="F323" s="435">
        <v>5</v>
      </c>
      <c r="G323" s="435">
        <v>1400</v>
      </c>
      <c r="H323" s="435">
        <v>10000</v>
      </c>
      <c r="I323" s="431" t="s">
        <v>777</v>
      </c>
      <c r="J323" s="432" t="s">
        <v>210</v>
      </c>
      <c r="K323" s="432">
        <v>-30</v>
      </c>
      <c r="L323" s="432">
        <v>90</v>
      </c>
      <c r="M323" s="432" t="s">
        <v>577</v>
      </c>
      <c r="N323" s="432">
        <v>50</v>
      </c>
      <c r="O323" s="435" t="s">
        <v>168</v>
      </c>
      <c r="P323" s="435" t="s">
        <v>168</v>
      </c>
      <c r="Q323" s="434">
        <f>C323*((100-Discounts!$B$18)/100)</f>
        <v>18.27</v>
      </c>
      <c r="R323" t="str">
        <f>IF(ISNUMBER(Table3[[#This Row],[Thickness]]), "Zenith", "")</f>
        <v>Zenith</v>
      </c>
      <c r="S323">
        <v>4</v>
      </c>
      <c r="T323">
        <v>200</v>
      </c>
    </row>
    <row r="324" spans="1:20" x14ac:dyDescent="0.85">
      <c r="A324" s="429" t="s">
        <v>106</v>
      </c>
      <c r="B324" s="429" t="s">
        <v>391</v>
      </c>
      <c r="C324" s="430">
        <v>51.25</v>
      </c>
      <c r="D324" s="430"/>
      <c r="E324" s="430" t="s">
        <v>757</v>
      </c>
      <c r="F324" s="431">
        <v>6</v>
      </c>
      <c r="G324" s="431">
        <v>1400</v>
      </c>
      <c r="H324" s="431">
        <v>10000</v>
      </c>
      <c r="I324" s="431" t="s">
        <v>777</v>
      </c>
      <c r="J324" s="432" t="s">
        <v>210</v>
      </c>
      <c r="K324" s="432">
        <v>-30</v>
      </c>
      <c r="L324" s="432">
        <v>90</v>
      </c>
      <c r="M324" s="432" t="s">
        <v>577</v>
      </c>
      <c r="N324" s="432">
        <v>50</v>
      </c>
      <c r="O324" s="431" t="s">
        <v>168</v>
      </c>
      <c r="P324" s="431" t="s">
        <v>168</v>
      </c>
      <c r="Q324" s="430">
        <f>C324*((100-Discounts!$B$18)/100)</f>
        <v>21.524999999999999</v>
      </c>
      <c r="R324" t="str">
        <f>IF(ISNUMBER(Table3[[#This Row],[Thickness]]), "Zenith", "")</f>
        <v>Zenith</v>
      </c>
      <c r="S324">
        <v>4</v>
      </c>
      <c r="T324">
        <v>200</v>
      </c>
    </row>
    <row r="325" spans="1:20" x14ac:dyDescent="0.85">
      <c r="A325" s="433" t="s">
        <v>107</v>
      </c>
      <c r="B325" s="429" t="s">
        <v>391</v>
      </c>
      <c r="C325" s="434">
        <v>67.25</v>
      </c>
      <c r="D325" s="434"/>
      <c r="E325" s="430" t="s">
        <v>757</v>
      </c>
      <c r="F325" s="435">
        <v>8</v>
      </c>
      <c r="G325" s="435">
        <v>1400</v>
      </c>
      <c r="H325" s="435">
        <v>5000</v>
      </c>
      <c r="I325" s="431" t="s">
        <v>777</v>
      </c>
      <c r="J325" s="432" t="s">
        <v>210</v>
      </c>
      <c r="K325" s="432">
        <v>-30</v>
      </c>
      <c r="L325" s="432">
        <v>90</v>
      </c>
      <c r="M325" s="432" t="s">
        <v>577</v>
      </c>
      <c r="N325" s="432">
        <v>50</v>
      </c>
      <c r="O325" s="435" t="s">
        <v>168</v>
      </c>
      <c r="P325" s="435" t="s">
        <v>168</v>
      </c>
      <c r="Q325" s="434">
        <f>C325*((100-Discounts!$B$18)/100)</f>
        <v>28.244999999999997</v>
      </c>
      <c r="R325" t="str">
        <f>IF(ISNUMBER(Table3[[#This Row],[Thickness]]), "Zenith", "")</f>
        <v>Zenith</v>
      </c>
      <c r="S325">
        <v>4</v>
      </c>
      <c r="T325">
        <v>200</v>
      </c>
    </row>
    <row r="326" spans="1:20" x14ac:dyDescent="0.85">
      <c r="A326" s="429" t="s">
        <v>108</v>
      </c>
      <c r="B326" s="429" t="s">
        <v>391</v>
      </c>
      <c r="C326" s="430">
        <v>82.5</v>
      </c>
      <c r="D326" s="430"/>
      <c r="E326" s="430" t="s">
        <v>757</v>
      </c>
      <c r="F326" s="431">
        <v>10</v>
      </c>
      <c r="G326" s="431">
        <v>1400</v>
      </c>
      <c r="H326" s="431">
        <v>5000</v>
      </c>
      <c r="I326" s="431" t="s">
        <v>777</v>
      </c>
      <c r="J326" s="432" t="s">
        <v>210</v>
      </c>
      <c r="K326" s="432">
        <v>-30</v>
      </c>
      <c r="L326" s="432">
        <v>90</v>
      </c>
      <c r="M326" s="432" t="s">
        <v>577</v>
      </c>
      <c r="N326" s="432">
        <v>50</v>
      </c>
      <c r="O326" s="431" t="s">
        <v>168</v>
      </c>
      <c r="P326" s="431" t="s">
        <v>168</v>
      </c>
      <c r="Q326" s="430">
        <f>C326*((100-Discounts!$B$18)/100)</f>
        <v>34.65</v>
      </c>
      <c r="R326" t="str">
        <f>IF(ISNUMBER(Table3[[#This Row],[Thickness]]), "Zenith", "")</f>
        <v>Zenith</v>
      </c>
      <c r="S326">
        <v>4</v>
      </c>
      <c r="T326">
        <v>200</v>
      </c>
    </row>
    <row r="327" spans="1:20" x14ac:dyDescent="0.85">
      <c r="A327" s="433" t="s">
        <v>393</v>
      </c>
      <c r="B327" s="429" t="s">
        <v>391</v>
      </c>
      <c r="C327" s="434">
        <v>98.5</v>
      </c>
      <c r="D327" s="434"/>
      <c r="E327" s="430" t="s">
        <v>757</v>
      </c>
      <c r="F327" s="435">
        <v>12</v>
      </c>
      <c r="G327" s="435">
        <v>1400</v>
      </c>
      <c r="H327" s="435">
        <v>5000</v>
      </c>
      <c r="I327" s="431" t="s">
        <v>777</v>
      </c>
      <c r="J327" s="432" t="s">
        <v>210</v>
      </c>
      <c r="K327" s="432">
        <v>-30</v>
      </c>
      <c r="L327" s="432">
        <v>90</v>
      </c>
      <c r="M327" s="432" t="s">
        <v>577</v>
      </c>
      <c r="N327" s="432">
        <v>50</v>
      </c>
      <c r="O327" s="435" t="s">
        <v>168</v>
      </c>
      <c r="P327" s="435" t="s">
        <v>168</v>
      </c>
      <c r="Q327" s="434">
        <f>C327*((100-Discounts!$B$18)/100)</f>
        <v>41.37</v>
      </c>
      <c r="R327" t="str">
        <f>IF(ISNUMBER(Table3[[#This Row],[Thickness]]), "Zenith", "")</f>
        <v>Zenith</v>
      </c>
      <c r="S327">
        <v>4</v>
      </c>
      <c r="T327">
        <v>200</v>
      </c>
    </row>
    <row r="328" spans="1:20" x14ac:dyDescent="0.85">
      <c r="A328" s="429" t="s">
        <v>394</v>
      </c>
      <c r="B328" s="429" t="s">
        <v>391</v>
      </c>
      <c r="C328" s="430">
        <v>157.25</v>
      </c>
      <c r="D328" s="430"/>
      <c r="E328" s="430" t="s">
        <v>757</v>
      </c>
      <c r="F328" s="431">
        <v>20</v>
      </c>
      <c r="G328" s="431">
        <v>1400</v>
      </c>
      <c r="H328" s="431">
        <v>5000</v>
      </c>
      <c r="I328" s="431" t="s">
        <v>777</v>
      </c>
      <c r="J328" s="432" t="s">
        <v>210</v>
      </c>
      <c r="K328" s="432">
        <v>-30</v>
      </c>
      <c r="L328" s="432">
        <v>90</v>
      </c>
      <c r="M328" s="432" t="s">
        <v>577</v>
      </c>
      <c r="N328" s="432">
        <v>50</v>
      </c>
      <c r="O328" s="431" t="s">
        <v>168</v>
      </c>
      <c r="P328" s="431" t="s">
        <v>168</v>
      </c>
      <c r="Q328" s="430">
        <f>C328*((100-Discounts!$B$18)/100)</f>
        <v>66.045000000000002</v>
      </c>
      <c r="R328" t="str">
        <f>IF(ISNUMBER(Table3[[#This Row],[Thickness]]), "Zenith", "")</f>
        <v>Zenith</v>
      </c>
      <c r="S328">
        <v>4</v>
      </c>
      <c r="T328">
        <v>200</v>
      </c>
    </row>
    <row r="329" spans="1:20" ht="27" thickBot="1" x14ac:dyDescent="0.9">
      <c r="A329" s="365"/>
      <c r="B329" s="366"/>
      <c r="C329" s="367"/>
      <c r="D329" s="367"/>
      <c r="E329" s="367"/>
      <c r="F329" s="368" t="s">
        <v>253</v>
      </c>
      <c r="G329" s="368">
        <v>0</v>
      </c>
      <c r="H329" s="327">
        <v>0</v>
      </c>
      <c r="I329" s="217" t="s">
        <v>777</v>
      </c>
      <c r="J329" t="s">
        <v>210</v>
      </c>
      <c r="M329" s="352"/>
      <c r="N329" s="349"/>
      <c r="O329" s="327"/>
      <c r="P329" s="327"/>
      <c r="Q329" s="369" t="s">
        <v>323</v>
      </c>
      <c r="R329" t="str">
        <f>IF(ISNUMBER(Table3[[#This Row],[Thickness]]), "Zenith", "")</f>
        <v/>
      </c>
    </row>
    <row r="330" spans="1:20" ht="54" thickTop="1" thickBot="1" x14ac:dyDescent="0.9">
      <c r="A330" s="129" t="s">
        <v>322</v>
      </c>
      <c r="B330" s="298"/>
      <c r="C330" s="249" t="s">
        <v>179</v>
      </c>
      <c r="D330" s="313"/>
      <c r="E330" s="313"/>
      <c r="F330" s="247" t="s">
        <v>320</v>
      </c>
      <c r="G330" s="247" t="e">
        <v>#VALUE!</v>
      </c>
      <c r="H330" s="248" t="e">
        <v>#VALUE!</v>
      </c>
      <c r="I330" s="217" t="s">
        <v>777</v>
      </c>
      <c r="J330" t="s">
        <v>210</v>
      </c>
      <c r="M330" s="231"/>
      <c r="N330" s="233"/>
      <c r="O330" s="248" t="s">
        <v>171</v>
      </c>
      <c r="P330" s="248" t="s">
        <v>325</v>
      </c>
      <c r="Q330" s="248" t="s">
        <v>199</v>
      </c>
      <c r="R330" t="str">
        <f>IF(ISNUMBER(Table3[[#This Row],[Thickness]]), "Zenith", "")</f>
        <v/>
      </c>
    </row>
    <row r="331" spans="1:20" ht="27" thickTop="1" x14ac:dyDescent="0.85">
      <c r="A331" s="429" t="s">
        <v>193</v>
      </c>
      <c r="B331" s="429" t="s">
        <v>253</v>
      </c>
      <c r="C331" s="430">
        <v>42</v>
      </c>
      <c r="D331" s="430"/>
      <c r="E331" s="430" t="s">
        <v>757</v>
      </c>
      <c r="F331" s="431">
        <v>2</v>
      </c>
      <c r="G331" s="431">
        <v>1400</v>
      </c>
      <c r="H331" s="431">
        <v>10000</v>
      </c>
      <c r="I331" s="431" t="s">
        <v>777</v>
      </c>
      <c r="J331" s="432" t="s">
        <v>210</v>
      </c>
      <c r="K331" s="432">
        <v>-30</v>
      </c>
      <c r="L331" s="432">
        <v>120</v>
      </c>
      <c r="M331" s="432" t="s">
        <v>577</v>
      </c>
      <c r="N331" s="432">
        <v>70</v>
      </c>
      <c r="O331" s="431" t="s">
        <v>168</v>
      </c>
      <c r="P331" s="431" t="s">
        <v>168</v>
      </c>
      <c r="Q331" s="430">
        <f>C331*((100-Discounts!$B$19)/100)</f>
        <v>14.7</v>
      </c>
      <c r="R331" t="str">
        <f>IF(ISNUMBER(Table3[[#This Row],[Thickness]]), "Zenith", "")</f>
        <v>Zenith</v>
      </c>
      <c r="S331">
        <v>11.5</v>
      </c>
      <c r="T331">
        <v>370</v>
      </c>
    </row>
    <row r="332" spans="1:20" x14ac:dyDescent="0.85">
      <c r="A332" s="433" t="s">
        <v>194</v>
      </c>
      <c r="B332" s="429" t="s">
        <v>253</v>
      </c>
      <c r="C332" s="434">
        <v>60.5</v>
      </c>
      <c r="D332" s="434"/>
      <c r="E332" s="430" t="s">
        <v>757</v>
      </c>
      <c r="F332" s="435">
        <v>3</v>
      </c>
      <c r="G332" s="435">
        <v>1400</v>
      </c>
      <c r="H332" s="435">
        <v>10000</v>
      </c>
      <c r="I332" s="431" t="s">
        <v>777</v>
      </c>
      <c r="J332" s="432" t="s">
        <v>210</v>
      </c>
      <c r="K332" s="432">
        <v>-30</v>
      </c>
      <c r="L332" s="432">
        <v>120</v>
      </c>
      <c r="M332" s="432" t="s">
        <v>577</v>
      </c>
      <c r="N332" s="432">
        <v>70</v>
      </c>
      <c r="O332" s="435" t="s">
        <v>168</v>
      </c>
      <c r="P332" s="435" t="s">
        <v>168</v>
      </c>
      <c r="Q332" s="434">
        <f>C332*((100-Discounts!$B$19)/100)</f>
        <v>21.174999999999997</v>
      </c>
      <c r="R332" t="str">
        <f>IF(ISNUMBER(Table3[[#This Row],[Thickness]]), "Zenith", "")</f>
        <v>Zenith</v>
      </c>
      <c r="S332">
        <v>11.5</v>
      </c>
      <c r="T332">
        <v>370</v>
      </c>
    </row>
    <row r="333" spans="1:20" x14ac:dyDescent="0.85">
      <c r="A333" s="429" t="s">
        <v>195</v>
      </c>
      <c r="B333" s="429" t="s">
        <v>253</v>
      </c>
      <c r="C333" s="430">
        <v>80.75</v>
      </c>
      <c r="D333" s="430"/>
      <c r="E333" s="430" t="s">
        <v>757</v>
      </c>
      <c r="F333" s="431">
        <v>4</v>
      </c>
      <c r="G333" s="431">
        <v>1400</v>
      </c>
      <c r="H333" s="431">
        <v>10000</v>
      </c>
      <c r="I333" s="431" t="s">
        <v>777</v>
      </c>
      <c r="J333" s="432" t="s">
        <v>210</v>
      </c>
      <c r="K333" s="432">
        <v>-30</v>
      </c>
      <c r="L333" s="432">
        <v>120</v>
      </c>
      <c r="M333" s="432" t="s">
        <v>577</v>
      </c>
      <c r="N333" s="432">
        <v>70</v>
      </c>
      <c r="O333" s="431" t="s">
        <v>168</v>
      </c>
      <c r="P333" s="431" t="s">
        <v>168</v>
      </c>
      <c r="Q333" s="430">
        <f>C333*((100-Discounts!$B$19)/100)</f>
        <v>28.262499999999999</v>
      </c>
      <c r="R333" t="str">
        <f>IF(ISNUMBER(Table3[[#This Row],[Thickness]]), "Zenith", "")</f>
        <v>Zenith</v>
      </c>
      <c r="S333">
        <v>11.5</v>
      </c>
      <c r="T333">
        <v>370</v>
      </c>
    </row>
    <row r="334" spans="1:20" x14ac:dyDescent="0.85">
      <c r="A334" s="433" t="s">
        <v>196</v>
      </c>
      <c r="B334" s="429" t="s">
        <v>253</v>
      </c>
      <c r="C334" s="434">
        <v>99.25</v>
      </c>
      <c r="D334" s="434"/>
      <c r="E334" s="430" t="s">
        <v>757</v>
      </c>
      <c r="F334" s="435">
        <v>5</v>
      </c>
      <c r="G334" s="435">
        <v>1400</v>
      </c>
      <c r="H334" s="435">
        <v>10000</v>
      </c>
      <c r="I334" s="431" t="s">
        <v>777</v>
      </c>
      <c r="J334" s="432" t="s">
        <v>210</v>
      </c>
      <c r="K334" s="432">
        <v>-30</v>
      </c>
      <c r="L334" s="432">
        <v>120</v>
      </c>
      <c r="M334" s="432" t="s">
        <v>577</v>
      </c>
      <c r="N334" s="432">
        <v>70</v>
      </c>
      <c r="O334" s="435" t="s">
        <v>168</v>
      </c>
      <c r="P334" s="435" t="s">
        <v>168</v>
      </c>
      <c r="Q334" s="434">
        <f>C334*((100-Discounts!$B$19)/100)</f>
        <v>34.737499999999997</v>
      </c>
      <c r="R334" t="str">
        <f>IF(ISNUMBER(Table3[[#This Row],[Thickness]]), "Zenith", "")</f>
        <v>Zenith</v>
      </c>
      <c r="S334">
        <v>11.5</v>
      </c>
      <c r="T334">
        <v>370</v>
      </c>
    </row>
    <row r="335" spans="1:20" ht="27" thickBot="1" x14ac:dyDescent="0.9">
      <c r="A335" s="365"/>
      <c r="B335" s="366"/>
      <c r="C335" s="367"/>
      <c r="D335" s="367"/>
      <c r="E335" s="367"/>
      <c r="F335" s="368" t="s">
        <v>254</v>
      </c>
      <c r="G335" s="368">
        <v>0</v>
      </c>
      <c r="H335" s="327">
        <v>0</v>
      </c>
      <c r="I335" s="217" t="s">
        <v>777</v>
      </c>
      <c r="J335" t="s">
        <v>210</v>
      </c>
      <c r="K335">
        <v>-30</v>
      </c>
      <c r="L335">
        <v>120</v>
      </c>
      <c r="M335" s="352" t="s">
        <v>577</v>
      </c>
      <c r="N335" s="349">
        <v>70</v>
      </c>
      <c r="O335" s="327"/>
      <c r="P335" s="327"/>
      <c r="Q335" s="369" t="s">
        <v>323</v>
      </c>
      <c r="R335" t="str">
        <f>IF(ISNUMBER(Table3[[#This Row],[Thickness]]), "Zenith", "")</f>
        <v/>
      </c>
    </row>
    <row r="336" spans="1:20" ht="54" thickTop="1" thickBot="1" x14ac:dyDescent="0.9">
      <c r="A336" s="129" t="s">
        <v>322</v>
      </c>
      <c r="B336" s="298"/>
      <c r="C336" s="249" t="s">
        <v>179</v>
      </c>
      <c r="D336" s="313"/>
      <c r="E336" s="313"/>
      <c r="F336" s="247" t="s">
        <v>320</v>
      </c>
      <c r="G336" s="247" t="e">
        <v>#VALUE!</v>
      </c>
      <c r="H336" s="248" t="e">
        <v>#VALUE!</v>
      </c>
      <c r="I336" s="217" t="s">
        <v>777</v>
      </c>
      <c r="J336" t="s">
        <v>210</v>
      </c>
      <c r="M336" s="231"/>
      <c r="N336" s="233"/>
      <c r="O336" s="248" t="s">
        <v>171</v>
      </c>
      <c r="P336" s="248" t="s">
        <v>325</v>
      </c>
      <c r="Q336" s="248" t="s">
        <v>199</v>
      </c>
      <c r="R336" t="str">
        <f>IF(ISNUMBER(Table3[[#This Row],[Thickness]]), "Zenith", "")</f>
        <v/>
      </c>
    </row>
    <row r="337" spans="1:20" ht="27" thickTop="1" x14ac:dyDescent="0.85">
      <c r="A337" s="429" t="s">
        <v>197</v>
      </c>
      <c r="B337" s="429" t="s">
        <v>254</v>
      </c>
      <c r="C337" s="430">
        <v>20.25</v>
      </c>
      <c r="D337" s="430"/>
      <c r="E337" s="430" t="s">
        <v>757</v>
      </c>
      <c r="F337" s="431">
        <v>1</v>
      </c>
      <c r="G337" s="431">
        <v>1400</v>
      </c>
      <c r="H337" s="431">
        <v>20000</v>
      </c>
      <c r="I337" s="431" t="s">
        <v>777</v>
      </c>
      <c r="J337" s="432" t="s">
        <v>210</v>
      </c>
      <c r="K337" s="432">
        <v>-40</v>
      </c>
      <c r="L337" s="432">
        <v>140</v>
      </c>
      <c r="M337" s="432" t="s">
        <v>577</v>
      </c>
      <c r="N337" s="432">
        <v>70</v>
      </c>
      <c r="O337" s="431" t="s">
        <v>168</v>
      </c>
      <c r="P337" s="431" t="s">
        <v>168</v>
      </c>
      <c r="Q337" s="430">
        <f>C337*((100-Discounts!$B$20)/100)</f>
        <v>7.0874999999999995</v>
      </c>
      <c r="R337" t="str">
        <f>IF(ISNUMBER(Table3[[#This Row],[Thickness]]), "Zenith", "")</f>
        <v>Zenith</v>
      </c>
      <c r="S337">
        <v>9</v>
      </c>
      <c r="T337">
        <v>200</v>
      </c>
    </row>
    <row r="338" spans="1:20" x14ac:dyDescent="0.85">
      <c r="A338" s="433" t="s">
        <v>395</v>
      </c>
      <c r="B338" s="429" t="s">
        <v>254</v>
      </c>
      <c r="C338" s="434">
        <v>36.5</v>
      </c>
      <c r="D338" s="434"/>
      <c r="E338" s="430" t="s">
        <v>757</v>
      </c>
      <c r="F338" s="435">
        <v>2</v>
      </c>
      <c r="G338" s="435">
        <v>1400</v>
      </c>
      <c r="H338" s="435">
        <v>10000</v>
      </c>
      <c r="I338" s="431" t="s">
        <v>777</v>
      </c>
      <c r="J338" s="432" t="s">
        <v>210</v>
      </c>
      <c r="K338" s="432">
        <v>-40</v>
      </c>
      <c r="L338" s="432">
        <v>140</v>
      </c>
      <c r="M338" s="432" t="s">
        <v>577</v>
      </c>
      <c r="N338" s="432">
        <v>70</v>
      </c>
      <c r="O338" s="435" t="s">
        <v>168</v>
      </c>
      <c r="P338" s="435" t="s">
        <v>168</v>
      </c>
      <c r="Q338" s="434">
        <f>C338*((100-Discounts!$B$20)/100)</f>
        <v>12.774999999999999</v>
      </c>
      <c r="R338" t="str">
        <f>IF(ISNUMBER(Table3[[#This Row],[Thickness]]), "Zenith", "")</f>
        <v>Zenith</v>
      </c>
      <c r="S338">
        <v>9</v>
      </c>
      <c r="T338">
        <v>200</v>
      </c>
    </row>
    <row r="339" spans="1:20" x14ac:dyDescent="0.85">
      <c r="A339" s="429" t="s">
        <v>713</v>
      </c>
      <c r="B339" s="429" t="s">
        <v>254</v>
      </c>
      <c r="C339" s="430">
        <v>52.5</v>
      </c>
      <c r="D339" s="430"/>
      <c r="E339" s="430" t="s">
        <v>757</v>
      </c>
      <c r="F339" s="431">
        <v>3</v>
      </c>
      <c r="G339" s="431">
        <v>1400</v>
      </c>
      <c r="H339" s="431">
        <v>10000</v>
      </c>
      <c r="I339" s="431" t="s">
        <v>777</v>
      </c>
      <c r="J339" s="432" t="s">
        <v>210</v>
      </c>
      <c r="K339" s="432">
        <v>-40</v>
      </c>
      <c r="L339" s="432">
        <v>140</v>
      </c>
      <c r="M339" s="432" t="s">
        <v>577</v>
      </c>
      <c r="N339" s="432">
        <v>70</v>
      </c>
      <c r="O339" s="431" t="s">
        <v>168</v>
      </c>
      <c r="P339" s="431" t="s">
        <v>168</v>
      </c>
      <c r="Q339" s="430">
        <f>C339*((100-Discounts!$B$20)/100)</f>
        <v>18.375</v>
      </c>
      <c r="R339" t="str">
        <f>IF(ISNUMBER(Table3[[#This Row],[Thickness]]), "Zenith", "")</f>
        <v>Zenith</v>
      </c>
      <c r="S339">
        <v>9</v>
      </c>
      <c r="T339">
        <v>200</v>
      </c>
    </row>
    <row r="340" spans="1:20" x14ac:dyDescent="0.85">
      <c r="A340" s="433" t="s">
        <v>714</v>
      </c>
      <c r="B340" s="429" t="s">
        <v>254</v>
      </c>
      <c r="C340" s="434">
        <v>70.25</v>
      </c>
      <c r="D340" s="434"/>
      <c r="E340" s="430" t="s">
        <v>757</v>
      </c>
      <c r="F340" s="435">
        <v>4</v>
      </c>
      <c r="G340" s="435">
        <v>1400</v>
      </c>
      <c r="H340" s="435">
        <v>10000</v>
      </c>
      <c r="I340" s="431" t="s">
        <v>777</v>
      </c>
      <c r="J340" s="432" t="s">
        <v>210</v>
      </c>
      <c r="K340" s="432">
        <v>-40</v>
      </c>
      <c r="L340" s="432">
        <v>140</v>
      </c>
      <c r="M340" s="432" t="s">
        <v>577</v>
      </c>
      <c r="N340" s="432">
        <v>70</v>
      </c>
      <c r="O340" s="435" t="s">
        <v>168</v>
      </c>
      <c r="P340" s="435" t="s">
        <v>168</v>
      </c>
      <c r="Q340" s="434">
        <f>C340*((100-Discounts!$B$20)/100)</f>
        <v>24.587499999999999</v>
      </c>
      <c r="R340" t="str">
        <f>IF(ISNUMBER(Table3[[#This Row],[Thickness]]), "Zenith", "")</f>
        <v>Zenith</v>
      </c>
      <c r="S340">
        <v>9</v>
      </c>
      <c r="T340">
        <v>200</v>
      </c>
    </row>
    <row r="341" spans="1:20" x14ac:dyDescent="0.85">
      <c r="A341" s="429" t="s">
        <v>715</v>
      </c>
      <c r="B341" s="429" t="s">
        <v>254</v>
      </c>
      <c r="C341" s="430">
        <v>86</v>
      </c>
      <c r="D341" s="430"/>
      <c r="E341" s="430" t="s">
        <v>757</v>
      </c>
      <c r="F341" s="431">
        <v>5</v>
      </c>
      <c r="G341" s="431">
        <v>1400</v>
      </c>
      <c r="H341" s="431">
        <v>10000</v>
      </c>
      <c r="I341" s="431" t="s">
        <v>777</v>
      </c>
      <c r="J341" s="432" t="s">
        <v>210</v>
      </c>
      <c r="K341" s="432">
        <v>-40</v>
      </c>
      <c r="L341" s="432">
        <v>140</v>
      </c>
      <c r="M341" s="432" t="s">
        <v>577</v>
      </c>
      <c r="N341" s="432">
        <v>70</v>
      </c>
      <c r="O341" s="431" t="s">
        <v>168</v>
      </c>
      <c r="P341" s="431" t="s">
        <v>168</v>
      </c>
      <c r="Q341" s="430">
        <f>C341*((100-Discounts!$B$20)/100)</f>
        <v>30.099999999999998</v>
      </c>
      <c r="R341" t="str">
        <f>IF(ISNUMBER(Table3[[#This Row],[Thickness]]), "Zenith", "")</f>
        <v>Zenith</v>
      </c>
      <c r="S341">
        <v>9</v>
      </c>
      <c r="T341">
        <v>200</v>
      </c>
    </row>
    <row r="342" spans="1:20" ht="27" thickBot="1" x14ac:dyDescent="0.9">
      <c r="A342" s="123"/>
      <c r="B342" s="123"/>
      <c r="C342" s="370"/>
      <c r="D342" s="370"/>
      <c r="E342" s="370"/>
      <c r="F342" s="371" t="s">
        <v>403</v>
      </c>
      <c r="G342" s="371">
        <v>0</v>
      </c>
      <c r="H342" s="328">
        <v>0</v>
      </c>
      <c r="I342" s="217" t="s">
        <v>777</v>
      </c>
      <c r="M342" s="342"/>
      <c r="N342" s="343"/>
      <c r="O342" s="372"/>
      <c r="P342" s="372"/>
      <c r="Q342" s="328"/>
      <c r="R342" t="str">
        <f>IF(ISNUMBER(Table3[[#This Row],[Thickness]]), "Zenith", "")</f>
        <v/>
      </c>
    </row>
    <row r="343" spans="1:20" ht="27.5" thickTop="1" thickBot="1" x14ac:dyDescent="0.9">
      <c r="A343" s="124"/>
      <c r="B343" s="299"/>
      <c r="C343" s="252"/>
      <c r="D343" s="252"/>
      <c r="E343" s="252"/>
      <c r="F343" s="250" t="s">
        <v>216</v>
      </c>
      <c r="G343" s="250">
        <v>0</v>
      </c>
      <c r="H343" s="251">
        <v>0</v>
      </c>
      <c r="I343" s="217" t="s">
        <v>777</v>
      </c>
      <c r="M343" s="234"/>
      <c r="N343" s="230"/>
      <c r="O343" s="251"/>
      <c r="P343" s="251"/>
      <c r="Q343" s="253" t="s">
        <v>323</v>
      </c>
      <c r="R343" t="str">
        <f>IF(ISNUMBER(Table3[[#This Row],[Thickness]]), "Zenith", "")</f>
        <v/>
      </c>
    </row>
    <row r="344" spans="1:20" ht="54" thickTop="1" thickBot="1" x14ac:dyDescent="0.9">
      <c r="A344" s="125" t="s">
        <v>322</v>
      </c>
      <c r="B344" s="300"/>
      <c r="C344" s="256" t="s">
        <v>179</v>
      </c>
      <c r="D344" s="314"/>
      <c r="E344" s="314"/>
      <c r="F344" s="254" t="s">
        <v>320</v>
      </c>
      <c r="G344" s="254" t="e">
        <v>#VALUE!</v>
      </c>
      <c r="H344" s="255" t="e">
        <v>#VALUE!</v>
      </c>
      <c r="I344" s="217" t="s">
        <v>777</v>
      </c>
      <c r="M344" s="231"/>
      <c r="N344" s="233"/>
      <c r="O344" s="255" t="s">
        <v>171</v>
      </c>
      <c r="P344" s="255" t="s">
        <v>325</v>
      </c>
      <c r="Q344" s="255" t="s">
        <v>199</v>
      </c>
      <c r="R344" t="str">
        <f>IF(ISNUMBER(Table3[[#This Row],[Thickness]]), "Zenith", "")</f>
        <v/>
      </c>
    </row>
    <row r="345" spans="1:20" ht="27" thickTop="1" x14ac:dyDescent="0.85">
      <c r="A345" s="429" t="s">
        <v>133</v>
      </c>
      <c r="B345" s="429" t="s">
        <v>216</v>
      </c>
      <c r="C345" s="430">
        <v>10</v>
      </c>
      <c r="D345" s="430"/>
      <c r="E345" s="430" t="s">
        <v>757</v>
      </c>
      <c r="F345" s="431">
        <v>1</v>
      </c>
      <c r="G345" s="431">
        <v>1400</v>
      </c>
      <c r="H345" s="431">
        <v>20000</v>
      </c>
      <c r="I345" s="431" t="s">
        <v>777</v>
      </c>
      <c r="J345" s="432" t="s">
        <v>215</v>
      </c>
      <c r="K345" s="432">
        <v>-30</v>
      </c>
      <c r="L345" s="432">
        <v>90</v>
      </c>
      <c r="M345" s="432" t="s">
        <v>577</v>
      </c>
      <c r="N345" s="432">
        <v>70</v>
      </c>
      <c r="O345" s="431" t="s">
        <v>168</v>
      </c>
      <c r="P345" s="431" t="s">
        <v>168</v>
      </c>
      <c r="Q345" s="430">
        <f>C345*((100-Discounts!$B$22)/100)</f>
        <v>4</v>
      </c>
      <c r="R345" t="str">
        <f>IF(ISNUMBER(Table3[[#This Row],[Thickness]]), "Zenith", "")</f>
        <v>Zenith</v>
      </c>
      <c r="S345">
        <v>4</v>
      </c>
      <c r="T345">
        <v>200</v>
      </c>
    </row>
    <row r="346" spans="1:20" x14ac:dyDescent="0.85">
      <c r="A346" s="433" t="s">
        <v>19</v>
      </c>
      <c r="B346" s="429" t="s">
        <v>216</v>
      </c>
      <c r="C346" s="434">
        <v>13.75</v>
      </c>
      <c r="D346" s="434"/>
      <c r="E346" s="430" t="s">
        <v>757</v>
      </c>
      <c r="F346" s="435">
        <v>1.5</v>
      </c>
      <c r="G346" s="435">
        <v>1400</v>
      </c>
      <c r="H346" s="435">
        <v>15000</v>
      </c>
      <c r="I346" s="431" t="s">
        <v>777</v>
      </c>
      <c r="J346" s="432" t="s">
        <v>215</v>
      </c>
      <c r="K346" s="432">
        <v>-30</v>
      </c>
      <c r="L346" s="432">
        <v>90</v>
      </c>
      <c r="M346" s="432" t="s">
        <v>577</v>
      </c>
      <c r="N346" s="432">
        <v>70</v>
      </c>
      <c r="O346" s="435" t="s">
        <v>168</v>
      </c>
      <c r="P346" s="435" t="s">
        <v>168</v>
      </c>
      <c r="Q346" s="434">
        <f>C346*((100-Discounts!$B$22)/100)</f>
        <v>5.5</v>
      </c>
      <c r="R346" t="str">
        <f>IF(ISNUMBER(Table3[[#This Row],[Thickness]]), "Zenith", "")</f>
        <v>Zenith</v>
      </c>
      <c r="S346">
        <v>4</v>
      </c>
      <c r="T346">
        <v>200</v>
      </c>
    </row>
    <row r="347" spans="1:20" x14ac:dyDescent="0.85">
      <c r="A347" s="429" t="s">
        <v>21</v>
      </c>
      <c r="B347" s="429" t="s">
        <v>216</v>
      </c>
      <c r="C347" s="430">
        <v>16.75</v>
      </c>
      <c r="D347" s="430"/>
      <c r="E347" s="430" t="s">
        <v>757</v>
      </c>
      <c r="F347" s="431">
        <v>2</v>
      </c>
      <c r="G347" s="431">
        <v>1200</v>
      </c>
      <c r="H347" s="431">
        <v>10000</v>
      </c>
      <c r="I347" s="431" t="s">
        <v>777</v>
      </c>
      <c r="J347" s="432" t="s">
        <v>215</v>
      </c>
      <c r="K347" s="432">
        <v>-30</v>
      </c>
      <c r="L347" s="432">
        <v>90</v>
      </c>
      <c r="M347" s="432" t="s">
        <v>577</v>
      </c>
      <c r="N347" s="432">
        <v>70</v>
      </c>
      <c r="O347" s="431" t="s">
        <v>168</v>
      </c>
      <c r="P347" s="431" t="s">
        <v>168</v>
      </c>
      <c r="Q347" s="430">
        <f>C347*((100-Discounts!$B$22)/100)</f>
        <v>6.7</v>
      </c>
      <c r="R347" t="str">
        <f>IF(ISNUMBER(Table3[[#This Row],[Thickness]]), "Zenith", "")</f>
        <v>Zenith</v>
      </c>
      <c r="S347">
        <v>4</v>
      </c>
      <c r="T347">
        <v>200</v>
      </c>
    </row>
    <row r="348" spans="1:20" x14ac:dyDescent="0.85">
      <c r="A348" s="433" t="s">
        <v>21</v>
      </c>
      <c r="B348" s="429" t="s">
        <v>216</v>
      </c>
      <c r="C348" s="434">
        <v>16.75</v>
      </c>
      <c r="D348" s="434"/>
      <c r="E348" s="430" t="s">
        <v>757</v>
      </c>
      <c r="F348" s="435">
        <v>2</v>
      </c>
      <c r="G348" s="435">
        <v>1400</v>
      </c>
      <c r="H348" s="435">
        <v>10000</v>
      </c>
      <c r="I348" s="431" t="s">
        <v>777</v>
      </c>
      <c r="J348" s="432" t="s">
        <v>215</v>
      </c>
      <c r="K348" s="432">
        <v>-30</v>
      </c>
      <c r="L348" s="432">
        <v>90</v>
      </c>
      <c r="M348" s="432" t="s">
        <v>577</v>
      </c>
      <c r="N348" s="432">
        <v>70</v>
      </c>
      <c r="O348" s="435" t="s">
        <v>168</v>
      </c>
      <c r="P348" s="435" t="s">
        <v>168</v>
      </c>
      <c r="Q348" s="434">
        <f>C348*((100-Discounts!$B$22)/100)</f>
        <v>6.7</v>
      </c>
      <c r="R348" t="str">
        <f>IF(ISNUMBER(Table3[[#This Row],[Thickness]]), "Zenith", "")</f>
        <v>Zenith</v>
      </c>
      <c r="S348">
        <v>4</v>
      </c>
      <c r="T348">
        <v>200</v>
      </c>
    </row>
    <row r="349" spans="1:20" x14ac:dyDescent="0.85">
      <c r="A349" s="429" t="s">
        <v>23</v>
      </c>
      <c r="B349" s="429" t="s">
        <v>216</v>
      </c>
      <c r="C349" s="430">
        <v>23.5</v>
      </c>
      <c r="D349" s="430"/>
      <c r="E349" s="430" t="s">
        <v>757</v>
      </c>
      <c r="F349" s="431">
        <v>3</v>
      </c>
      <c r="G349" s="431">
        <v>1200</v>
      </c>
      <c r="H349" s="431">
        <v>10000</v>
      </c>
      <c r="I349" s="431" t="s">
        <v>777</v>
      </c>
      <c r="J349" s="432" t="s">
        <v>215</v>
      </c>
      <c r="K349" s="432">
        <v>-30</v>
      </c>
      <c r="L349" s="432">
        <v>90</v>
      </c>
      <c r="M349" s="432" t="s">
        <v>577</v>
      </c>
      <c r="N349" s="432">
        <v>70</v>
      </c>
      <c r="O349" s="431" t="s">
        <v>168</v>
      </c>
      <c r="P349" s="431" t="s">
        <v>168</v>
      </c>
      <c r="Q349" s="430">
        <f>C349*((100-Discounts!$B$22)/100)</f>
        <v>9.4</v>
      </c>
      <c r="R349" t="str">
        <f>IF(ISNUMBER(Table3[[#This Row],[Thickness]]), "Zenith", "")</f>
        <v>Zenith</v>
      </c>
      <c r="S349">
        <v>4</v>
      </c>
      <c r="T349">
        <v>200</v>
      </c>
    </row>
    <row r="350" spans="1:20" x14ac:dyDescent="0.85">
      <c r="A350" s="433" t="s">
        <v>23</v>
      </c>
      <c r="B350" s="429" t="s">
        <v>216</v>
      </c>
      <c r="C350" s="434">
        <v>23.5</v>
      </c>
      <c r="D350" s="434"/>
      <c r="E350" s="430" t="s">
        <v>757</v>
      </c>
      <c r="F350" s="435">
        <v>3</v>
      </c>
      <c r="G350" s="435">
        <v>1400</v>
      </c>
      <c r="H350" s="435">
        <v>10000</v>
      </c>
      <c r="I350" s="431" t="s">
        <v>777</v>
      </c>
      <c r="J350" s="432" t="s">
        <v>215</v>
      </c>
      <c r="K350" s="432">
        <v>-30</v>
      </c>
      <c r="L350" s="432">
        <v>90</v>
      </c>
      <c r="M350" s="432" t="s">
        <v>577</v>
      </c>
      <c r="N350" s="432">
        <v>70</v>
      </c>
      <c r="O350" s="435" t="s">
        <v>168</v>
      </c>
      <c r="P350" s="435" t="s">
        <v>168</v>
      </c>
      <c r="Q350" s="434">
        <f>C350*((100-Discounts!$B$22)/100)</f>
        <v>9.4</v>
      </c>
      <c r="R350" t="str">
        <f>IF(ISNUMBER(Table3[[#This Row],[Thickness]]), "Zenith", "")</f>
        <v>Zenith</v>
      </c>
      <c r="S350">
        <v>4</v>
      </c>
      <c r="T350">
        <v>200</v>
      </c>
    </row>
    <row r="351" spans="1:20" x14ac:dyDescent="0.85">
      <c r="A351" s="429" t="s">
        <v>25</v>
      </c>
      <c r="B351" s="429" t="s">
        <v>216</v>
      </c>
      <c r="C351" s="430">
        <v>31.5</v>
      </c>
      <c r="D351" s="430"/>
      <c r="E351" s="430" t="s">
        <v>757</v>
      </c>
      <c r="F351" s="431">
        <v>4</v>
      </c>
      <c r="G351" s="431">
        <v>1200</v>
      </c>
      <c r="H351" s="431">
        <v>10000</v>
      </c>
      <c r="I351" s="431" t="s">
        <v>777</v>
      </c>
      <c r="J351" s="432" t="s">
        <v>215</v>
      </c>
      <c r="K351" s="432">
        <v>-30</v>
      </c>
      <c r="L351" s="432">
        <v>90</v>
      </c>
      <c r="M351" s="432" t="s">
        <v>577</v>
      </c>
      <c r="N351" s="432">
        <v>70</v>
      </c>
      <c r="O351" s="431" t="s">
        <v>168</v>
      </c>
      <c r="P351" s="431" t="s">
        <v>168</v>
      </c>
      <c r="Q351" s="430">
        <f>C351*((100-Discounts!$B$22)/100)</f>
        <v>12.600000000000001</v>
      </c>
      <c r="R351" t="str">
        <f>IF(ISNUMBER(Table3[[#This Row],[Thickness]]), "Zenith", "")</f>
        <v>Zenith</v>
      </c>
      <c r="S351">
        <v>4</v>
      </c>
      <c r="T351">
        <v>200</v>
      </c>
    </row>
    <row r="352" spans="1:20" x14ac:dyDescent="0.85">
      <c r="A352" s="433" t="s">
        <v>25</v>
      </c>
      <c r="B352" s="429" t="s">
        <v>216</v>
      </c>
      <c r="C352" s="434">
        <v>31.5</v>
      </c>
      <c r="D352" s="434"/>
      <c r="E352" s="430" t="s">
        <v>757</v>
      </c>
      <c r="F352" s="435">
        <v>4</v>
      </c>
      <c r="G352" s="435">
        <v>1400</v>
      </c>
      <c r="H352" s="435">
        <v>10000</v>
      </c>
      <c r="I352" s="431" t="s">
        <v>777</v>
      </c>
      <c r="J352" s="432" t="s">
        <v>215</v>
      </c>
      <c r="K352" s="432">
        <v>-30</v>
      </c>
      <c r="L352" s="432">
        <v>90</v>
      </c>
      <c r="M352" s="432" t="s">
        <v>577</v>
      </c>
      <c r="N352" s="432">
        <v>70</v>
      </c>
      <c r="O352" s="435" t="s">
        <v>168</v>
      </c>
      <c r="P352" s="435" t="s">
        <v>168</v>
      </c>
      <c r="Q352" s="434">
        <f>C352*((100-Discounts!$B$22)/100)</f>
        <v>12.600000000000001</v>
      </c>
      <c r="R352" t="str">
        <f>IF(ISNUMBER(Table3[[#This Row],[Thickness]]), "Zenith", "")</f>
        <v>Zenith</v>
      </c>
      <c r="S352">
        <v>4</v>
      </c>
      <c r="T352">
        <v>200</v>
      </c>
    </row>
    <row r="353" spans="1:20" x14ac:dyDescent="0.85">
      <c r="A353" s="429" t="s">
        <v>27</v>
      </c>
      <c r="B353" s="429" t="s">
        <v>216</v>
      </c>
      <c r="C353" s="430">
        <v>39.25</v>
      </c>
      <c r="D353" s="430"/>
      <c r="E353" s="430" t="s">
        <v>757</v>
      </c>
      <c r="F353" s="431">
        <v>5</v>
      </c>
      <c r="G353" s="431">
        <v>1200</v>
      </c>
      <c r="H353" s="431">
        <v>10000</v>
      </c>
      <c r="I353" s="431" t="s">
        <v>777</v>
      </c>
      <c r="J353" s="432" t="s">
        <v>215</v>
      </c>
      <c r="K353" s="432">
        <v>-30</v>
      </c>
      <c r="L353" s="432">
        <v>90</v>
      </c>
      <c r="M353" s="432" t="s">
        <v>577</v>
      </c>
      <c r="N353" s="432">
        <v>70</v>
      </c>
      <c r="O353" s="431" t="s">
        <v>168</v>
      </c>
      <c r="P353" s="431" t="s">
        <v>168</v>
      </c>
      <c r="Q353" s="430">
        <f>C353*((100-Discounts!$B$22)/100)</f>
        <v>15.700000000000001</v>
      </c>
      <c r="R353" t="str">
        <f>IF(ISNUMBER(Table3[[#This Row],[Thickness]]), "Zenith", "")</f>
        <v>Zenith</v>
      </c>
      <c r="S353">
        <v>4</v>
      </c>
      <c r="T353">
        <v>200</v>
      </c>
    </row>
    <row r="354" spans="1:20" x14ac:dyDescent="0.85">
      <c r="A354" s="433" t="s">
        <v>27</v>
      </c>
      <c r="B354" s="429" t="s">
        <v>216</v>
      </c>
      <c r="C354" s="434">
        <v>39.25</v>
      </c>
      <c r="D354" s="434"/>
      <c r="E354" s="430" t="s">
        <v>757</v>
      </c>
      <c r="F354" s="435">
        <v>5</v>
      </c>
      <c r="G354" s="435">
        <v>1400</v>
      </c>
      <c r="H354" s="435">
        <v>10000</v>
      </c>
      <c r="I354" s="431" t="s">
        <v>777</v>
      </c>
      <c r="J354" s="432" t="s">
        <v>215</v>
      </c>
      <c r="K354" s="432">
        <v>-30</v>
      </c>
      <c r="L354" s="432">
        <v>90</v>
      </c>
      <c r="M354" s="432" t="s">
        <v>577</v>
      </c>
      <c r="N354" s="432">
        <v>70</v>
      </c>
      <c r="O354" s="435" t="s">
        <v>168</v>
      </c>
      <c r="P354" s="435" t="s">
        <v>168</v>
      </c>
      <c r="Q354" s="434">
        <f>C354*((100-Discounts!$B$22)/100)</f>
        <v>15.700000000000001</v>
      </c>
      <c r="R354" t="str">
        <f>IF(ISNUMBER(Table3[[#This Row],[Thickness]]), "Zenith", "")</f>
        <v>Zenith</v>
      </c>
      <c r="S354">
        <v>4</v>
      </c>
      <c r="T354">
        <v>200</v>
      </c>
    </row>
    <row r="355" spans="1:20" x14ac:dyDescent="0.85">
      <c r="A355" s="429" t="s">
        <v>29</v>
      </c>
      <c r="B355" s="429" t="s">
        <v>216</v>
      </c>
      <c r="C355" s="430">
        <v>45.75</v>
      </c>
      <c r="D355" s="430"/>
      <c r="E355" s="430" t="s">
        <v>757</v>
      </c>
      <c r="F355" s="431">
        <v>6</v>
      </c>
      <c r="G355" s="431">
        <v>1200</v>
      </c>
      <c r="H355" s="431">
        <v>10000</v>
      </c>
      <c r="I355" s="431" t="s">
        <v>777</v>
      </c>
      <c r="J355" s="432" t="s">
        <v>215</v>
      </c>
      <c r="K355" s="432">
        <v>-30</v>
      </c>
      <c r="L355" s="432">
        <v>90</v>
      </c>
      <c r="M355" s="432" t="s">
        <v>577</v>
      </c>
      <c r="N355" s="432">
        <v>70</v>
      </c>
      <c r="O355" s="431" t="s">
        <v>168</v>
      </c>
      <c r="P355" s="431" t="s">
        <v>168</v>
      </c>
      <c r="Q355" s="430">
        <f>C355*((100-Discounts!$B$22)/100)</f>
        <v>18.3</v>
      </c>
      <c r="R355" t="str">
        <f>IF(ISNUMBER(Table3[[#This Row],[Thickness]]), "Zenith", "")</f>
        <v>Zenith</v>
      </c>
      <c r="S355">
        <v>4</v>
      </c>
      <c r="T355">
        <v>200</v>
      </c>
    </row>
    <row r="356" spans="1:20" x14ac:dyDescent="0.85">
      <c r="A356" s="433" t="s">
        <v>29</v>
      </c>
      <c r="B356" s="429" t="s">
        <v>216</v>
      </c>
      <c r="C356" s="434">
        <v>45.75</v>
      </c>
      <c r="D356" s="434"/>
      <c r="E356" s="430" t="s">
        <v>757</v>
      </c>
      <c r="F356" s="435">
        <v>6</v>
      </c>
      <c r="G356" s="435">
        <v>1400</v>
      </c>
      <c r="H356" s="435">
        <v>10000</v>
      </c>
      <c r="I356" s="431" t="s">
        <v>777</v>
      </c>
      <c r="J356" s="432" t="s">
        <v>215</v>
      </c>
      <c r="K356" s="432">
        <v>-30</v>
      </c>
      <c r="L356" s="432">
        <v>90</v>
      </c>
      <c r="M356" s="432" t="s">
        <v>577</v>
      </c>
      <c r="N356" s="432">
        <v>70</v>
      </c>
      <c r="O356" s="435" t="s">
        <v>168</v>
      </c>
      <c r="P356" s="435" t="s">
        <v>168</v>
      </c>
      <c r="Q356" s="434">
        <f>C356*((100-Discounts!$B$22)/100)</f>
        <v>18.3</v>
      </c>
      <c r="R356" t="str">
        <f>IF(ISNUMBER(Table3[[#This Row],[Thickness]]), "Zenith", "")</f>
        <v>Zenith</v>
      </c>
      <c r="S356">
        <v>4</v>
      </c>
      <c r="T356">
        <v>200</v>
      </c>
    </row>
    <row r="357" spans="1:20" x14ac:dyDescent="0.85">
      <c r="A357" s="429" t="s">
        <v>30</v>
      </c>
      <c r="B357" s="429" t="s">
        <v>216</v>
      </c>
      <c r="C357" s="430">
        <v>60</v>
      </c>
      <c r="D357" s="430"/>
      <c r="E357" s="430" t="s">
        <v>757</v>
      </c>
      <c r="F357" s="431">
        <v>8</v>
      </c>
      <c r="G357" s="431">
        <v>1200</v>
      </c>
      <c r="H357" s="431">
        <v>10000</v>
      </c>
      <c r="I357" s="431" t="s">
        <v>777</v>
      </c>
      <c r="J357" s="432" t="s">
        <v>215</v>
      </c>
      <c r="K357" s="432">
        <v>-30</v>
      </c>
      <c r="L357" s="432">
        <v>90</v>
      </c>
      <c r="M357" s="432" t="s">
        <v>577</v>
      </c>
      <c r="N357" s="432">
        <v>70</v>
      </c>
      <c r="O357" s="431" t="s">
        <v>168</v>
      </c>
      <c r="P357" s="431" t="s">
        <v>168</v>
      </c>
      <c r="Q357" s="430">
        <f>C357*((100-Discounts!$B$22)/100)</f>
        <v>24</v>
      </c>
      <c r="R357" t="str">
        <f>IF(ISNUMBER(Table3[[#This Row],[Thickness]]), "Zenith", "")</f>
        <v>Zenith</v>
      </c>
      <c r="S357">
        <v>4</v>
      </c>
      <c r="T357">
        <v>200</v>
      </c>
    </row>
    <row r="358" spans="1:20" x14ac:dyDescent="0.85">
      <c r="A358" s="433" t="s">
        <v>30</v>
      </c>
      <c r="B358" s="429" t="s">
        <v>216</v>
      </c>
      <c r="C358" s="434">
        <v>60</v>
      </c>
      <c r="D358" s="434"/>
      <c r="E358" s="430" t="s">
        <v>757</v>
      </c>
      <c r="F358" s="435">
        <v>8</v>
      </c>
      <c r="G358" s="435">
        <v>1400</v>
      </c>
      <c r="H358" s="435">
        <v>10000</v>
      </c>
      <c r="I358" s="431" t="s">
        <v>777</v>
      </c>
      <c r="J358" s="432" t="s">
        <v>215</v>
      </c>
      <c r="K358" s="432">
        <v>-30</v>
      </c>
      <c r="L358" s="432">
        <v>90</v>
      </c>
      <c r="M358" s="432" t="s">
        <v>577</v>
      </c>
      <c r="N358" s="432">
        <v>70</v>
      </c>
      <c r="O358" s="435" t="s">
        <v>168</v>
      </c>
      <c r="P358" s="435" t="s">
        <v>168</v>
      </c>
      <c r="Q358" s="434">
        <f>C358*((100-Discounts!$B$22)/100)</f>
        <v>24</v>
      </c>
      <c r="R358" t="str">
        <f>IF(ISNUMBER(Table3[[#This Row],[Thickness]]), "Zenith", "")</f>
        <v>Zenith</v>
      </c>
      <c r="S358">
        <v>4</v>
      </c>
      <c r="T358">
        <v>200</v>
      </c>
    </row>
    <row r="359" spans="1:20" x14ac:dyDescent="0.85">
      <c r="A359" s="429" t="s">
        <v>30</v>
      </c>
      <c r="B359" s="429" t="s">
        <v>216</v>
      </c>
      <c r="C359" s="430">
        <v>60</v>
      </c>
      <c r="D359" s="430"/>
      <c r="E359" s="430" t="s">
        <v>757</v>
      </c>
      <c r="F359" s="431">
        <v>8</v>
      </c>
      <c r="G359" s="431">
        <v>1400</v>
      </c>
      <c r="H359" s="431">
        <v>5000</v>
      </c>
      <c r="I359" s="431" t="s">
        <v>777</v>
      </c>
      <c r="J359" s="432" t="s">
        <v>215</v>
      </c>
      <c r="K359" s="432">
        <v>-30</v>
      </c>
      <c r="L359" s="432">
        <v>90</v>
      </c>
      <c r="M359" s="432" t="s">
        <v>577</v>
      </c>
      <c r="N359" s="432">
        <v>70</v>
      </c>
      <c r="O359" s="431" t="s">
        <v>168</v>
      </c>
      <c r="P359" s="431" t="s">
        <v>168</v>
      </c>
      <c r="Q359" s="430">
        <f>C359*((100-Discounts!$B$22)/100)</f>
        <v>24</v>
      </c>
      <c r="R359" t="str">
        <f>IF(ISNUMBER(Table3[[#This Row],[Thickness]]), "Zenith", "")</f>
        <v>Zenith</v>
      </c>
      <c r="S359">
        <v>4</v>
      </c>
      <c r="T359">
        <v>200</v>
      </c>
    </row>
    <row r="360" spans="1:20" x14ac:dyDescent="0.85">
      <c r="A360" s="433" t="s">
        <v>31</v>
      </c>
      <c r="B360" s="429" t="s">
        <v>216</v>
      </c>
      <c r="C360" s="434">
        <v>75.75</v>
      </c>
      <c r="D360" s="434"/>
      <c r="E360" s="430" t="s">
        <v>757</v>
      </c>
      <c r="F360" s="435">
        <v>10</v>
      </c>
      <c r="G360" s="435">
        <v>1000</v>
      </c>
      <c r="H360" s="435">
        <v>5000</v>
      </c>
      <c r="I360" s="431" t="s">
        <v>777</v>
      </c>
      <c r="J360" s="432" t="s">
        <v>215</v>
      </c>
      <c r="K360" s="432">
        <v>-30</v>
      </c>
      <c r="L360" s="432">
        <v>90</v>
      </c>
      <c r="M360" s="432" t="s">
        <v>577</v>
      </c>
      <c r="N360" s="432">
        <v>70</v>
      </c>
      <c r="O360" s="435" t="s">
        <v>168</v>
      </c>
      <c r="P360" s="435" t="s">
        <v>168</v>
      </c>
      <c r="Q360" s="434">
        <f>C360*((100-Discounts!$B$22)/100)</f>
        <v>30.3</v>
      </c>
      <c r="R360" t="str">
        <f>IF(ISNUMBER(Table3[[#This Row],[Thickness]]), "Zenith", "")</f>
        <v>Zenith</v>
      </c>
      <c r="S360">
        <v>4</v>
      </c>
      <c r="T360">
        <v>200</v>
      </c>
    </row>
    <row r="361" spans="1:20" x14ac:dyDescent="0.85">
      <c r="A361" s="429" t="s">
        <v>31</v>
      </c>
      <c r="B361" s="429" t="s">
        <v>216</v>
      </c>
      <c r="C361" s="430">
        <v>73.5</v>
      </c>
      <c r="D361" s="430"/>
      <c r="E361" s="430" t="s">
        <v>757</v>
      </c>
      <c r="F361" s="431">
        <v>10</v>
      </c>
      <c r="G361" s="431">
        <v>1200</v>
      </c>
      <c r="H361" s="431">
        <v>10000</v>
      </c>
      <c r="I361" s="431" t="s">
        <v>777</v>
      </c>
      <c r="J361" s="432" t="s">
        <v>215</v>
      </c>
      <c r="K361" s="432">
        <v>-30</v>
      </c>
      <c r="L361" s="432">
        <v>90</v>
      </c>
      <c r="M361" s="432" t="s">
        <v>577</v>
      </c>
      <c r="N361" s="432">
        <v>70</v>
      </c>
      <c r="O361" s="431" t="s">
        <v>168</v>
      </c>
      <c r="P361" s="431" t="s">
        <v>168</v>
      </c>
      <c r="Q361" s="430">
        <f>C361*((100-Discounts!$B$22)/100)</f>
        <v>29.400000000000002</v>
      </c>
      <c r="R361" t="str">
        <f>IF(ISNUMBER(Table3[[#This Row],[Thickness]]), "Zenith", "")</f>
        <v>Zenith</v>
      </c>
      <c r="S361">
        <v>4</v>
      </c>
      <c r="T361">
        <v>200</v>
      </c>
    </row>
    <row r="362" spans="1:20" x14ac:dyDescent="0.85">
      <c r="A362" s="433" t="s">
        <v>31</v>
      </c>
      <c r="B362" s="429" t="s">
        <v>216</v>
      </c>
      <c r="C362" s="434">
        <v>73.5</v>
      </c>
      <c r="D362" s="434"/>
      <c r="E362" s="430" t="s">
        <v>757</v>
      </c>
      <c r="F362" s="435">
        <v>10</v>
      </c>
      <c r="G362" s="435">
        <v>1400</v>
      </c>
      <c r="H362" s="435">
        <v>5000</v>
      </c>
      <c r="I362" s="431" t="s">
        <v>777</v>
      </c>
      <c r="J362" s="432" t="s">
        <v>215</v>
      </c>
      <c r="K362" s="432">
        <v>-30</v>
      </c>
      <c r="L362" s="432">
        <v>90</v>
      </c>
      <c r="M362" s="432" t="s">
        <v>577</v>
      </c>
      <c r="N362" s="432">
        <v>70</v>
      </c>
      <c r="O362" s="435" t="s">
        <v>168</v>
      </c>
      <c r="P362" s="435" t="s">
        <v>168</v>
      </c>
      <c r="Q362" s="434">
        <f>C362*((100-Discounts!$B$22)/100)</f>
        <v>29.400000000000002</v>
      </c>
      <c r="R362" t="str">
        <f>IF(ISNUMBER(Table3[[#This Row],[Thickness]]), "Zenith", "")</f>
        <v>Zenith</v>
      </c>
      <c r="S362">
        <v>4</v>
      </c>
      <c r="T362">
        <v>200</v>
      </c>
    </row>
    <row r="363" spans="1:20" x14ac:dyDescent="0.85">
      <c r="A363" s="429" t="s">
        <v>31</v>
      </c>
      <c r="B363" s="429" t="s">
        <v>216</v>
      </c>
      <c r="C363" s="430">
        <v>73.5</v>
      </c>
      <c r="D363" s="430"/>
      <c r="E363" s="430" t="s">
        <v>757</v>
      </c>
      <c r="F363" s="431">
        <v>10</v>
      </c>
      <c r="G363" s="431">
        <v>1400</v>
      </c>
      <c r="H363" s="431">
        <v>10000</v>
      </c>
      <c r="I363" s="431" t="s">
        <v>777</v>
      </c>
      <c r="J363" s="432" t="s">
        <v>215</v>
      </c>
      <c r="K363" s="432">
        <v>-30</v>
      </c>
      <c r="L363" s="432">
        <v>90</v>
      </c>
      <c r="M363" s="432" t="s">
        <v>577</v>
      </c>
      <c r="N363" s="432">
        <v>70</v>
      </c>
      <c r="O363" s="431" t="s">
        <v>168</v>
      </c>
      <c r="P363" s="431" t="s">
        <v>168</v>
      </c>
      <c r="Q363" s="430">
        <f>C363*((100-Discounts!$B$22)/100)</f>
        <v>29.400000000000002</v>
      </c>
      <c r="R363" t="str">
        <f>IF(ISNUMBER(Table3[[#This Row],[Thickness]]), "Zenith", "")</f>
        <v>Zenith</v>
      </c>
      <c r="S363">
        <v>4</v>
      </c>
      <c r="T363">
        <v>200</v>
      </c>
    </row>
    <row r="364" spans="1:20" x14ac:dyDescent="0.85">
      <c r="A364" s="433" t="s">
        <v>31</v>
      </c>
      <c r="B364" s="429" t="s">
        <v>216</v>
      </c>
      <c r="C364" s="434">
        <v>73.5</v>
      </c>
      <c r="D364" s="434"/>
      <c r="E364" s="430" t="s">
        <v>757</v>
      </c>
      <c r="F364" s="435">
        <v>10</v>
      </c>
      <c r="G364" s="435">
        <v>1500</v>
      </c>
      <c r="H364" s="435">
        <v>5000</v>
      </c>
      <c r="I364" s="431" t="s">
        <v>777</v>
      </c>
      <c r="J364" s="432" t="s">
        <v>215</v>
      </c>
      <c r="K364" s="432">
        <v>-30</v>
      </c>
      <c r="L364" s="432">
        <v>90</v>
      </c>
      <c r="M364" s="432" t="s">
        <v>577</v>
      </c>
      <c r="N364" s="432">
        <v>70</v>
      </c>
      <c r="O364" s="435" t="s">
        <v>168</v>
      </c>
      <c r="P364" s="435" t="s">
        <v>168</v>
      </c>
      <c r="Q364" s="434">
        <f>C364*((100-Discounts!$B$22)/100)</f>
        <v>29.400000000000002</v>
      </c>
      <c r="R364" t="str">
        <f>IF(ISNUMBER(Table3[[#This Row],[Thickness]]), "Zenith", "")</f>
        <v>Zenith</v>
      </c>
      <c r="S364">
        <v>4</v>
      </c>
      <c r="T364">
        <v>200</v>
      </c>
    </row>
    <row r="365" spans="1:20" x14ac:dyDescent="0.85">
      <c r="A365" s="429" t="s">
        <v>31</v>
      </c>
      <c r="B365" s="429" t="s">
        <v>216</v>
      </c>
      <c r="C365" s="430">
        <v>73.5</v>
      </c>
      <c r="D365" s="430"/>
      <c r="E365" s="430" t="s">
        <v>757</v>
      </c>
      <c r="F365" s="431">
        <v>10</v>
      </c>
      <c r="G365" s="431">
        <v>1500</v>
      </c>
      <c r="H365" s="431">
        <v>10000</v>
      </c>
      <c r="I365" s="431" t="s">
        <v>777</v>
      </c>
      <c r="J365" s="432" t="s">
        <v>215</v>
      </c>
      <c r="K365" s="432">
        <v>-30</v>
      </c>
      <c r="L365" s="432">
        <v>90</v>
      </c>
      <c r="M365" s="432" t="s">
        <v>577</v>
      </c>
      <c r="N365" s="432">
        <v>70</v>
      </c>
      <c r="O365" s="431" t="s">
        <v>168</v>
      </c>
      <c r="P365" s="431" t="s">
        <v>168</v>
      </c>
      <c r="Q365" s="430">
        <f>C365*((100-Discounts!$B$22)/100)</f>
        <v>29.400000000000002</v>
      </c>
      <c r="R365" t="str">
        <f>IF(ISNUMBER(Table3[[#This Row],[Thickness]]), "Zenith", "")</f>
        <v>Zenith</v>
      </c>
      <c r="S365">
        <v>4</v>
      </c>
      <c r="T365">
        <v>200</v>
      </c>
    </row>
    <row r="366" spans="1:20" x14ac:dyDescent="0.85">
      <c r="A366" s="433" t="s">
        <v>31</v>
      </c>
      <c r="B366" s="429" t="s">
        <v>216</v>
      </c>
      <c r="C366" s="434">
        <v>73.5</v>
      </c>
      <c r="D366" s="434"/>
      <c r="E366" s="430" t="s">
        <v>757</v>
      </c>
      <c r="F366" s="435">
        <v>10</v>
      </c>
      <c r="G366" s="435">
        <v>1800</v>
      </c>
      <c r="H366" s="435">
        <v>5000</v>
      </c>
      <c r="I366" s="431" t="s">
        <v>777</v>
      </c>
      <c r="J366" s="432" t="s">
        <v>215</v>
      </c>
      <c r="K366" s="432">
        <v>-30</v>
      </c>
      <c r="L366" s="432">
        <v>90</v>
      </c>
      <c r="M366" s="432" t="s">
        <v>577</v>
      </c>
      <c r="N366" s="432">
        <v>70</v>
      </c>
      <c r="O366" s="435" t="s">
        <v>168</v>
      </c>
      <c r="P366" s="435" t="s">
        <v>168</v>
      </c>
      <c r="Q366" s="434">
        <f>C366*((100-Discounts!$B$22)/100)</f>
        <v>29.400000000000002</v>
      </c>
      <c r="R366" t="str">
        <f>IF(ISNUMBER(Table3[[#This Row],[Thickness]]), "Zenith", "")</f>
        <v>Zenith</v>
      </c>
      <c r="S366">
        <v>4</v>
      </c>
      <c r="T366">
        <v>200</v>
      </c>
    </row>
    <row r="367" spans="1:20" x14ac:dyDescent="0.85">
      <c r="A367" s="429" t="s">
        <v>32</v>
      </c>
      <c r="B367" s="429" t="s">
        <v>216</v>
      </c>
      <c r="C367" s="430">
        <v>86.5</v>
      </c>
      <c r="D367" s="430"/>
      <c r="E367" s="430" t="s">
        <v>757</v>
      </c>
      <c r="F367" s="431">
        <v>12</v>
      </c>
      <c r="G367" s="431">
        <v>1400</v>
      </c>
      <c r="H367" s="431">
        <v>5000</v>
      </c>
      <c r="I367" s="431" t="s">
        <v>777</v>
      </c>
      <c r="J367" s="432" t="s">
        <v>215</v>
      </c>
      <c r="K367" s="432">
        <v>-30</v>
      </c>
      <c r="L367" s="432">
        <v>90</v>
      </c>
      <c r="M367" s="432" t="s">
        <v>577</v>
      </c>
      <c r="N367" s="432">
        <v>70</v>
      </c>
      <c r="O367" s="431" t="s">
        <v>168</v>
      </c>
      <c r="P367" s="431" t="s">
        <v>168</v>
      </c>
      <c r="Q367" s="430">
        <f>C367*((100-Discounts!$B$22)/100)</f>
        <v>34.6</v>
      </c>
      <c r="R367" t="str">
        <f>IF(ISNUMBER(Table3[[#This Row],[Thickness]]), "Zenith", "")</f>
        <v>Zenith</v>
      </c>
      <c r="S367">
        <v>4</v>
      </c>
      <c r="T367">
        <v>200</v>
      </c>
    </row>
    <row r="368" spans="1:20" x14ac:dyDescent="0.85">
      <c r="A368" s="433" t="s">
        <v>33</v>
      </c>
      <c r="B368" s="429" t="s">
        <v>216</v>
      </c>
      <c r="C368" s="434">
        <v>107</v>
      </c>
      <c r="D368" s="434"/>
      <c r="E368" s="430" t="s">
        <v>757</v>
      </c>
      <c r="F368" s="435">
        <v>15</v>
      </c>
      <c r="G368" s="435">
        <v>1400</v>
      </c>
      <c r="H368" s="435">
        <v>5000</v>
      </c>
      <c r="I368" s="431" t="s">
        <v>777</v>
      </c>
      <c r="J368" s="432" t="s">
        <v>215</v>
      </c>
      <c r="K368" s="432">
        <v>-30</v>
      </c>
      <c r="L368" s="432">
        <v>90</v>
      </c>
      <c r="M368" s="432" t="s">
        <v>577</v>
      </c>
      <c r="N368" s="432">
        <v>70</v>
      </c>
      <c r="O368" s="435" t="s">
        <v>168</v>
      </c>
      <c r="P368" s="435" t="s">
        <v>168</v>
      </c>
      <c r="Q368" s="434">
        <f>C368*((100-Discounts!$B$22)/100)</f>
        <v>42.800000000000004</v>
      </c>
      <c r="R368" t="str">
        <f>IF(ISNUMBER(Table3[[#This Row],[Thickness]]), "Zenith", "")</f>
        <v>Zenith</v>
      </c>
      <c r="S368">
        <v>4</v>
      </c>
      <c r="T368">
        <v>200</v>
      </c>
    </row>
    <row r="369" spans="1:20" x14ac:dyDescent="0.85">
      <c r="A369" s="429" t="s">
        <v>34</v>
      </c>
      <c r="B369" s="429" t="s">
        <v>216</v>
      </c>
      <c r="C369" s="430">
        <v>141.5</v>
      </c>
      <c r="D369" s="430"/>
      <c r="E369" s="430" t="s">
        <v>757</v>
      </c>
      <c r="F369" s="431">
        <v>20</v>
      </c>
      <c r="G369" s="431">
        <v>1400</v>
      </c>
      <c r="H369" s="431">
        <v>5000</v>
      </c>
      <c r="I369" s="431" t="s">
        <v>777</v>
      </c>
      <c r="J369" s="432" t="s">
        <v>215</v>
      </c>
      <c r="K369" s="432">
        <v>-30</v>
      </c>
      <c r="L369" s="432">
        <v>90</v>
      </c>
      <c r="M369" s="432" t="s">
        <v>577</v>
      </c>
      <c r="N369" s="432">
        <v>70</v>
      </c>
      <c r="O369" s="431" t="s">
        <v>168</v>
      </c>
      <c r="P369" s="431" t="s">
        <v>168</v>
      </c>
      <c r="Q369" s="430">
        <f>C369*((100-Discounts!$B$22)/100)</f>
        <v>56.6</v>
      </c>
      <c r="R369" t="str">
        <f>IF(ISNUMBER(Table3[[#This Row],[Thickness]]), "Zenith", "")</f>
        <v>Zenith</v>
      </c>
      <c r="S369">
        <v>4</v>
      </c>
      <c r="T369">
        <v>200</v>
      </c>
    </row>
    <row r="370" spans="1:20" x14ac:dyDescent="0.85">
      <c r="A370" s="433" t="s">
        <v>167</v>
      </c>
      <c r="B370" s="429" t="s">
        <v>216</v>
      </c>
      <c r="C370" s="434">
        <v>176.75</v>
      </c>
      <c r="D370" s="434"/>
      <c r="E370" s="430" t="s">
        <v>757</v>
      </c>
      <c r="F370" s="435">
        <v>25</v>
      </c>
      <c r="G370" s="435">
        <v>1400</v>
      </c>
      <c r="H370" s="435">
        <v>5000</v>
      </c>
      <c r="I370" s="431" t="s">
        <v>777</v>
      </c>
      <c r="J370" s="432" t="s">
        <v>215</v>
      </c>
      <c r="K370" s="432">
        <v>-30</v>
      </c>
      <c r="L370" s="432">
        <v>90</v>
      </c>
      <c r="M370" s="432" t="s">
        <v>577</v>
      </c>
      <c r="N370" s="432">
        <v>70</v>
      </c>
      <c r="O370" s="435" t="s">
        <v>168</v>
      </c>
      <c r="P370" s="435" t="s">
        <v>168</v>
      </c>
      <c r="Q370" s="434">
        <f>C370*((100-Discounts!$B$22)/100)</f>
        <v>70.7</v>
      </c>
      <c r="R370" t="str">
        <f>IF(ISNUMBER(Table3[[#This Row],[Thickness]]), "Zenith", "")</f>
        <v>Zenith</v>
      </c>
      <c r="S370">
        <v>4</v>
      </c>
      <c r="T370">
        <v>200</v>
      </c>
    </row>
    <row r="371" spans="1:20" ht="27" thickBot="1" x14ac:dyDescent="0.9">
      <c r="A371" s="373"/>
      <c r="B371" s="374"/>
      <c r="C371" s="375"/>
      <c r="D371" s="375"/>
      <c r="E371" s="375"/>
      <c r="F371" s="376" t="s">
        <v>404</v>
      </c>
      <c r="G371" s="376">
        <v>0</v>
      </c>
      <c r="H371" s="329">
        <v>0</v>
      </c>
      <c r="I371" s="217" t="s">
        <v>777</v>
      </c>
      <c r="J371" t="s">
        <v>215</v>
      </c>
      <c r="M371" s="352"/>
      <c r="N371" s="349"/>
      <c r="O371" s="329"/>
      <c r="P371" s="329"/>
      <c r="Q371" s="377" t="s">
        <v>323</v>
      </c>
      <c r="R371" t="str">
        <f>IF(ISNUMBER(Table3[[#This Row],[Thickness]]), "Zenith", "")</f>
        <v/>
      </c>
    </row>
    <row r="372" spans="1:20" ht="54" thickTop="1" thickBot="1" x14ac:dyDescent="0.9">
      <c r="A372" s="126" t="s">
        <v>322</v>
      </c>
      <c r="B372" s="301"/>
      <c r="C372" s="256" t="s">
        <v>179</v>
      </c>
      <c r="D372" s="314"/>
      <c r="E372" s="314"/>
      <c r="F372" s="254" t="s">
        <v>320</v>
      </c>
      <c r="G372" s="254" t="e">
        <v>#VALUE!</v>
      </c>
      <c r="H372" s="255" t="e">
        <v>#VALUE!</v>
      </c>
      <c r="I372" s="217" t="s">
        <v>777</v>
      </c>
      <c r="J372" t="s">
        <v>215</v>
      </c>
      <c r="M372" s="231"/>
      <c r="N372" s="233"/>
      <c r="O372" s="255" t="s">
        <v>171</v>
      </c>
      <c r="P372" s="255" t="s">
        <v>325</v>
      </c>
      <c r="Q372" s="255" t="s">
        <v>199</v>
      </c>
      <c r="R372" t="str">
        <f>IF(ISNUMBER(Table3[[#This Row],[Thickness]]), "Zenith", "")</f>
        <v/>
      </c>
    </row>
    <row r="373" spans="1:20" ht="27" thickTop="1" x14ac:dyDescent="0.85">
      <c r="A373" s="429" t="s">
        <v>20</v>
      </c>
      <c r="B373" s="429" t="s">
        <v>763</v>
      </c>
      <c r="C373" s="430">
        <v>19.75</v>
      </c>
      <c r="D373" s="430"/>
      <c r="E373" s="430" t="s">
        <v>757</v>
      </c>
      <c r="F373" s="431">
        <v>1.5</v>
      </c>
      <c r="G373" s="431">
        <v>1400</v>
      </c>
      <c r="H373" s="431">
        <v>10000</v>
      </c>
      <c r="I373" s="431" t="s">
        <v>777</v>
      </c>
      <c r="J373" s="432" t="s">
        <v>215</v>
      </c>
      <c r="K373" s="432">
        <v>-30</v>
      </c>
      <c r="L373" s="432">
        <v>90</v>
      </c>
      <c r="M373" s="432" t="s">
        <v>577</v>
      </c>
      <c r="N373" s="432">
        <v>70</v>
      </c>
      <c r="O373" s="431">
        <v>1</v>
      </c>
      <c r="P373" s="431" t="s">
        <v>178</v>
      </c>
      <c r="Q373" s="430">
        <f>C373*((100-Discounts!$B$22)/100)</f>
        <v>7.9</v>
      </c>
      <c r="R373" t="str">
        <f>IF(ISNUMBER(Table3[[#This Row],[Thickness]]), "Zenith", "")</f>
        <v>Zenith</v>
      </c>
      <c r="S373">
        <v>4</v>
      </c>
      <c r="T373">
        <v>200</v>
      </c>
    </row>
    <row r="374" spans="1:20" x14ac:dyDescent="0.85">
      <c r="A374" s="433" t="s">
        <v>20</v>
      </c>
      <c r="B374" s="429" t="s">
        <v>763</v>
      </c>
      <c r="C374" s="434">
        <v>19.75</v>
      </c>
      <c r="D374" s="434"/>
      <c r="E374" s="430" t="s">
        <v>757</v>
      </c>
      <c r="F374" s="435">
        <v>1.5</v>
      </c>
      <c r="G374" s="435">
        <v>1400</v>
      </c>
      <c r="H374" s="435">
        <v>15000</v>
      </c>
      <c r="I374" s="431" t="s">
        <v>777</v>
      </c>
      <c r="J374" s="432" t="s">
        <v>215</v>
      </c>
      <c r="K374" s="432">
        <v>-30</v>
      </c>
      <c r="L374" s="432">
        <v>90</v>
      </c>
      <c r="M374" s="432" t="s">
        <v>577</v>
      </c>
      <c r="N374" s="432">
        <v>70</v>
      </c>
      <c r="O374" s="435">
        <v>1</v>
      </c>
      <c r="P374" s="435" t="s">
        <v>178</v>
      </c>
      <c r="Q374" s="434">
        <f>C374*((100-Discounts!$B$22)/100)</f>
        <v>7.9</v>
      </c>
      <c r="R374" t="str">
        <f>IF(ISNUMBER(Table3[[#This Row],[Thickness]]), "Zenith", "")</f>
        <v>Zenith</v>
      </c>
      <c r="S374">
        <v>4</v>
      </c>
      <c r="T374">
        <v>200</v>
      </c>
    </row>
    <row r="375" spans="1:20" x14ac:dyDescent="0.85">
      <c r="A375" s="429" t="s">
        <v>22</v>
      </c>
      <c r="B375" s="429" t="s">
        <v>763</v>
      </c>
      <c r="C375" s="430">
        <v>22.75</v>
      </c>
      <c r="D375" s="430"/>
      <c r="E375" s="430" t="s">
        <v>757</v>
      </c>
      <c r="F375" s="431">
        <v>2</v>
      </c>
      <c r="G375" s="431">
        <v>1200</v>
      </c>
      <c r="H375" s="431">
        <v>10000</v>
      </c>
      <c r="I375" s="431" t="s">
        <v>777</v>
      </c>
      <c r="J375" s="432" t="s">
        <v>215</v>
      </c>
      <c r="K375" s="432">
        <v>-30</v>
      </c>
      <c r="L375" s="432">
        <v>90</v>
      </c>
      <c r="M375" s="432" t="s">
        <v>577</v>
      </c>
      <c r="N375" s="432">
        <v>70</v>
      </c>
      <c r="O375" s="431">
        <v>1</v>
      </c>
      <c r="P375" s="431" t="s">
        <v>178</v>
      </c>
      <c r="Q375" s="430">
        <f>C375*((100-Discounts!$B$22)/100)</f>
        <v>9.1</v>
      </c>
      <c r="R375" t="str">
        <f>IF(ISNUMBER(Table3[[#This Row],[Thickness]]), "Zenith", "")</f>
        <v>Zenith</v>
      </c>
      <c r="S375">
        <v>4</v>
      </c>
      <c r="T375">
        <v>200</v>
      </c>
    </row>
    <row r="376" spans="1:20" x14ac:dyDescent="0.85">
      <c r="A376" s="433" t="s">
        <v>22</v>
      </c>
      <c r="B376" s="429" t="s">
        <v>763</v>
      </c>
      <c r="C376" s="434">
        <v>22.75</v>
      </c>
      <c r="D376" s="434"/>
      <c r="E376" s="430" t="s">
        <v>757</v>
      </c>
      <c r="F376" s="435">
        <v>2</v>
      </c>
      <c r="G376" s="435">
        <v>1400</v>
      </c>
      <c r="H376" s="435">
        <v>10000</v>
      </c>
      <c r="I376" s="431" t="s">
        <v>777</v>
      </c>
      <c r="J376" s="432" t="s">
        <v>215</v>
      </c>
      <c r="K376" s="432">
        <v>-30</v>
      </c>
      <c r="L376" s="432">
        <v>90</v>
      </c>
      <c r="M376" s="432" t="s">
        <v>577</v>
      </c>
      <c r="N376" s="432">
        <v>70</v>
      </c>
      <c r="O376" s="435">
        <v>1</v>
      </c>
      <c r="P376" s="435" t="s">
        <v>178</v>
      </c>
      <c r="Q376" s="434">
        <f>C376*((100-Discounts!$B$22)/100)</f>
        <v>9.1</v>
      </c>
      <c r="R376" t="str">
        <f>IF(ISNUMBER(Table3[[#This Row],[Thickness]]), "Zenith", "")</f>
        <v>Zenith</v>
      </c>
      <c r="S376">
        <v>4</v>
      </c>
      <c r="T376">
        <v>200</v>
      </c>
    </row>
    <row r="377" spans="1:20" x14ac:dyDescent="0.85">
      <c r="A377" s="429" t="s">
        <v>24</v>
      </c>
      <c r="B377" s="429" t="s">
        <v>763</v>
      </c>
      <c r="C377" s="430">
        <v>29.5</v>
      </c>
      <c r="D377" s="430"/>
      <c r="E377" s="430" t="s">
        <v>757</v>
      </c>
      <c r="F377" s="431">
        <v>3</v>
      </c>
      <c r="G377" s="431">
        <v>1200</v>
      </c>
      <c r="H377" s="431">
        <v>10000</v>
      </c>
      <c r="I377" s="431" t="s">
        <v>777</v>
      </c>
      <c r="J377" s="432" t="s">
        <v>215</v>
      </c>
      <c r="K377" s="432">
        <v>-30</v>
      </c>
      <c r="L377" s="432">
        <v>90</v>
      </c>
      <c r="M377" s="432" t="s">
        <v>577</v>
      </c>
      <c r="N377" s="432">
        <v>70</v>
      </c>
      <c r="O377" s="431">
        <v>1</v>
      </c>
      <c r="P377" s="431" t="s">
        <v>178</v>
      </c>
      <c r="Q377" s="430">
        <f>C377*((100-Discounts!$B$22)/100)</f>
        <v>11.8</v>
      </c>
      <c r="R377" t="str">
        <f>IF(ISNUMBER(Table3[[#This Row],[Thickness]]), "Zenith", "")</f>
        <v>Zenith</v>
      </c>
      <c r="S377">
        <v>4</v>
      </c>
      <c r="T377">
        <v>200</v>
      </c>
    </row>
    <row r="378" spans="1:20" x14ac:dyDescent="0.85">
      <c r="A378" s="433" t="s">
        <v>24</v>
      </c>
      <c r="B378" s="429" t="s">
        <v>763</v>
      </c>
      <c r="C378" s="434">
        <v>29.5</v>
      </c>
      <c r="D378" s="434"/>
      <c r="E378" s="430" t="s">
        <v>757</v>
      </c>
      <c r="F378" s="435">
        <v>3</v>
      </c>
      <c r="G378" s="435">
        <v>1400</v>
      </c>
      <c r="H378" s="435">
        <v>10000</v>
      </c>
      <c r="I378" s="431" t="s">
        <v>777</v>
      </c>
      <c r="J378" s="432" t="s">
        <v>215</v>
      </c>
      <c r="K378" s="432">
        <v>-30</v>
      </c>
      <c r="L378" s="432">
        <v>90</v>
      </c>
      <c r="M378" s="432" t="s">
        <v>577</v>
      </c>
      <c r="N378" s="432">
        <v>70</v>
      </c>
      <c r="O378" s="435">
        <v>1</v>
      </c>
      <c r="P378" s="435" t="s">
        <v>178</v>
      </c>
      <c r="Q378" s="434">
        <f>C378*((100-Discounts!$B$22)/100)</f>
        <v>11.8</v>
      </c>
      <c r="R378" t="str">
        <f>IF(ISNUMBER(Table3[[#This Row],[Thickness]]), "Zenith", "")</f>
        <v>Zenith</v>
      </c>
      <c r="S378">
        <v>4</v>
      </c>
      <c r="T378">
        <v>200</v>
      </c>
    </row>
    <row r="379" spans="1:20" x14ac:dyDescent="0.85">
      <c r="A379" s="429" t="s">
        <v>732</v>
      </c>
      <c r="B379" s="429" t="s">
        <v>763</v>
      </c>
      <c r="C379" s="430">
        <v>35.5</v>
      </c>
      <c r="D379" s="430"/>
      <c r="E379" s="430" t="s">
        <v>757</v>
      </c>
      <c r="F379" s="431">
        <v>3</v>
      </c>
      <c r="G379" s="431">
        <v>1200</v>
      </c>
      <c r="H379" s="431">
        <v>10000</v>
      </c>
      <c r="I379" s="431" t="s">
        <v>777</v>
      </c>
      <c r="J379" s="432" t="s">
        <v>215</v>
      </c>
      <c r="K379" s="432">
        <v>-30</v>
      </c>
      <c r="L379" s="432">
        <v>90</v>
      </c>
      <c r="M379" s="432" t="s">
        <v>577</v>
      </c>
      <c r="N379" s="432">
        <v>70</v>
      </c>
      <c r="O379" s="431">
        <v>2</v>
      </c>
      <c r="P379" s="431" t="s">
        <v>178</v>
      </c>
      <c r="Q379" s="430">
        <f>C379*((100-Discounts!$B$22)/100)</f>
        <v>14.200000000000001</v>
      </c>
      <c r="R379" t="str">
        <f>IF(ISNUMBER(Table3[[#This Row],[Thickness]]), "Zenith", "")</f>
        <v>Zenith</v>
      </c>
      <c r="S379">
        <v>4</v>
      </c>
      <c r="T379">
        <v>200</v>
      </c>
    </row>
    <row r="380" spans="1:20" x14ac:dyDescent="0.85">
      <c r="A380" s="433" t="s">
        <v>732</v>
      </c>
      <c r="B380" s="429" t="s">
        <v>763</v>
      </c>
      <c r="C380" s="434">
        <v>35.5</v>
      </c>
      <c r="D380" s="434"/>
      <c r="E380" s="430" t="s">
        <v>757</v>
      </c>
      <c r="F380" s="435">
        <v>3</v>
      </c>
      <c r="G380" s="435">
        <v>1400</v>
      </c>
      <c r="H380" s="435">
        <v>10000</v>
      </c>
      <c r="I380" s="431" t="s">
        <v>777</v>
      </c>
      <c r="J380" s="432" t="s">
        <v>215</v>
      </c>
      <c r="K380" s="432">
        <v>-30</v>
      </c>
      <c r="L380" s="432">
        <v>90</v>
      </c>
      <c r="M380" s="432" t="s">
        <v>577</v>
      </c>
      <c r="N380" s="432">
        <v>70</v>
      </c>
      <c r="O380" s="435">
        <v>2</v>
      </c>
      <c r="P380" s="435" t="s">
        <v>178</v>
      </c>
      <c r="Q380" s="434">
        <f>C380*((100-Discounts!$B$22)/100)</f>
        <v>14.200000000000001</v>
      </c>
      <c r="R380" t="str">
        <f>IF(ISNUMBER(Table3[[#This Row],[Thickness]]), "Zenith", "")</f>
        <v>Zenith</v>
      </c>
      <c r="S380">
        <v>4</v>
      </c>
      <c r="T380">
        <v>200</v>
      </c>
    </row>
    <row r="381" spans="1:20" x14ac:dyDescent="0.85">
      <c r="A381" s="429" t="s">
        <v>26</v>
      </c>
      <c r="B381" s="429" t="s">
        <v>763</v>
      </c>
      <c r="C381" s="430">
        <v>37.5</v>
      </c>
      <c r="D381" s="430"/>
      <c r="E381" s="430" t="s">
        <v>757</v>
      </c>
      <c r="F381" s="431">
        <v>4</v>
      </c>
      <c r="G381" s="431">
        <v>1200</v>
      </c>
      <c r="H381" s="431">
        <v>10000</v>
      </c>
      <c r="I381" s="431" t="s">
        <v>777</v>
      </c>
      <c r="J381" s="432" t="s">
        <v>215</v>
      </c>
      <c r="K381" s="432">
        <v>-30</v>
      </c>
      <c r="L381" s="432">
        <v>90</v>
      </c>
      <c r="M381" s="432" t="s">
        <v>577</v>
      </c>
      <c r="N381" s="432">
        <v>70</v>
      </c>
      <c r="O381" s="431">
        <v>1</v>
      </c>
      <c r="P381" s="431" t="s">
        <v>178</v>
      </c>
      <c r="Q381" s="430">
        <f>C381*((100-Discounts!$B$22)/100)</f>
        <v>15</v>
      </c>
      <c r="R381" t="str">
        <f>IF(ISNUMBER(Table3[[#This Row],[Thickness]]), "Zenith", "")</f>
        <v>Zenith</v>
      </c>
      <c r="S381">
        <v>4</v>
      </c>
      <c r="T381">
        <v>200</v>
      </c>
    </row>
    <row r="382" spans="1:20" x14ac:dyDescent="0.85">
      <c r="A382" s="433" t="s">
        <v>26</v>
      </c>
      <c r="B382" s="429" t="s">
        <v>763</v>
      </c>
      <c r="C382" s="434">
        <v>37.5</v>
      </c>
      <c r="D382" s="434"/>
      <c r="E382" s="430" t="s">
        <v>757</v>
      </c>
      <c r="F382" s="435">
        <v>4</v>
      </c>
      <c r="G382" s="435">
        <v>1400</v>
      </c>
      <c r="H382" s="435">
        <v>10000</v>
      </c>
      <c r="I382" s="431" t="s">
        <v>777</v>
      </c>
      <c r="J382" s="432" t="s">
        <v>215</v>
      </c>
      <c r="K382" s="432">
        <v>-30</v>
      </c>
      <c r="L382" s="432">
        <v>90</v>
      </c>
      <c r="M382" s="432" t="s">
        <v>577</v>
      </c>
      <c r="N382" s="432">
        <v>70</v>
      </c>
      <c r="O382" s="435">
        <v>1</v>
      </c>
      <c r="P382" s="435" t="s">
        <v>178</v>
      </c>
      <c r="Q382" s="434">
        <f>C382*((100-Discounts!$B$22)/100)</f>
        <v>15</v>
      </c>
      <c r="R382" t="str">
        <f>IF(ISNUMBER(Table3[[#This Row],[Thickness]]), "Zenith", "")</f>
        <v>Zenith</v>
      </c>
      <c r="S382">
        <v>4</v>
      </c>
      <c r="T382">
        <v>200</v>
      </c>
    </row>
    <row r="383" spans="1:20" x14ac:dyDescent="0.85">
      <c r="A383" s="429" t="s">
        <v>731</v>
      </c>
      <c r="B383" s="429" t="s">
        <v>763</v>
      </c>
      <c r="C383" s="430">
        <v>43.5</v>
      </c>
      <c r="D383" s="430"/>
      <c r="E383" s="430" t="s">
        <v>757</v>
      </c>
      <c r="F383" s="431">
        <v>4</v>
      </c>
      <c r="G383" s="431">
        <v>1200</v>
      </c>
      <c r="H383" s="431">
        <v>10000</v>
      </c>
      <c r="I383" s="431" t="s">
        <v>777</v>
      </c>
      <c r="J383" s="432" t="s">
        <v>215</v>
      </c>
      <c r="K383" s="432">
        <v>-30</v>
      </c>
      <c r="L383" s="432">
        <v>90</v>
      </c>
      <c r="M383" s="432" t="s">
        <v>577</v>
      </c>
      <c r="N383" s="432">
        <v>70</v>
      </c>
      <c r="O383" s="431">
        <v>2</v>
      </c>
      <c r="P383" s="431" t="s">
        <v>178</v>
      </c>
      <c r="Q383" s="430">
        <f>C383*((100-Discounts!$B$22)/100)</f>
        <v>17.400000000000002</v>
      </c>
      <c r="R383" t="str">
        <f>IF(ISNUMBER(Table3[[#This Row],[Thickness]]), "Zenith", "")</f>
        <v>Zenith</v>
      </c>
      <c r="S383">
        <v>4</v>
      </c>
      <c r="T383">
        <v>200</v>
      </c>
    </row>
    <row r="384" spans="1:20" x14ac:dyDescent="0.85">
      <c r="A384" s="433" t="s">
        <v>731</v>
      </c>
      <c r="B384" s="429" t="s">
        <v>763</v>
      </c>
      <c r="C384" s="434">
        <v>43.5</v>
      </c>
      <c r="D384" s="434"/>
      <c r="E384" s="430" t="s">
        <v>757</v>
      </c>
      <c r="F384" s="435">
        <v>4</v>
      </c>
      <c r="G384" s="435">
        <v>1400</v>
      </c>
      <c r="H384" s="435">
        <v>10000</v>
      </c>
      <c r="I384" s="431" t="s">
        <v>777</v>
      </c>
      <c r="J384" s="432" t="s">
        <v>215</v>
      </c>
      <c r="K384" s="432">
        <v>-30</v>
      </c>
      <c r="L384" s="432">
        <v>90</v>
      </c>
      <c r="M384" s="432" t="s">
        <v>577</v>
      </c>
      <c r="N384" s="432">
        <v>70</v>
      </c>
      <c r="O384" s="435">
        <v>2</v>
      </c>
      <c r="P384" s="435" t="s">
        <v>178</v>
      </c>
      <c r="Q384" s="434">
        <f>C384*((100-Discounts!$B$22)/100)</f>
        <v>17.400000000000002</v>
      </c>
      <c r="R384" t="str">
        <f>IF(ISNUMBER(Table3[[#This Row],[Thickness]]), "Zenith", "")</f>
        <v>Zenith</v>
      </c>
      <c r="S384">
        <v>4</v>
      </c>
      <c r="T384">
        <v>200</v>
      </c>
    </row>
    <row r="385" spans="1:20" x14ac:dyDescent="0.85">
      <c r="A385" s="429" t="s">
        <v>28</v>
      </c>
      <c r="B385" s="429" t="s">
        <v>763</v>
      </c>
      <c r="C385" s="430">
        <v>45.25</v>
      </c>
      <c r="D385" s="430"/>
      <c r="E385" s="430" t="s">
        <v>757</v>
      </c>
      <c r="F385" s="431">
        <v>5</v>
      </c>
      <c r="G385" s="431">
        <v>1200</v>
      </c>
      <c r="H385" s="431">
        <v>10000</v>
      </c>
      <c r="I385" s="431" t="s">
        <v>777</v>
      </c>
      <c r="J385" s="432" t="s">
        <v>215</v>
      </c>
      <c r="K385" s="432">
        <v>-30</v>
      </c>
      <c r="L385" s="432">
        <v>90</v>
      </c>
      <c r="M385" s="432" t="s">
        <v>577</v>
      </c>
      <c r="N385" s="432">
        <v>70</v>
      </c>
      <c r="O385" s="431">
        <v>1</v>
      </c>
      <c r="P385" s="431" t="s">
        <v>178</v>
      </c>
      <c r="Q385" s="430">
        <f>C385*((100-Discounts!$B$22)/100)</f>
        <v>18.100000000000001</v>
      </c>
      <c r="R385" t="str">
        <f>IF(ISNUMBER(Table3[[#This Row],[Thickness]]), "Zenith", "")</f>
        <v>Zenith</v>
      </c>
      <c r="S385">
        <v>4</v>
      </c>
      <c r="T385">
        <v>200</v>
      </c>
    </row>
    <row r="386" spans="1:20" x14ac:dyDescent="0.85">
      <c r="A386" s="433" t="s">
        <v>28</v>
      </c>
      <c r="B386" s="429" t="s">
        <v>763</v>
      </c>
      <c r="C386" s="434">
        <v>45.25</v>
      </c>
      <c r="D386" s="434"/>
      <c r="E386" s="430" t="s">
        <v>757</v>
      </c>
      <c r="F386" s="435">
        <v>5</v>
      </c>
      <c r="G386" s="435">
        <v>1400</v>
      </c>
      <c r="H386" s="435">
        <v>10000</v>
      </c>
      <c r="I386" s="431" t="s">
        <v>777</v>
      </c>
      <c r="J386" s="432" t="s">
        <v>215</v>
      </c>
      <c r="K386" s="432">
        <v>-30</v>
      </c>
      <c r="L386" s="432">
        <v>90</v>
      </c>
      <c r="M386" s="432" t="s">
        <v>577</v>
      </c>
      <c r="N386" s="432">
        <v>70</v>
      </c>
      <c r="O386" s="435">
        <v>1</v>
      </c>
      <c r="P386" s="435" t="s">
        <v>178</v>
      </c>
      <c r="Q386" s="434">
        <f>C386*((100-Discounts!$B$22)/100)</f>
        <v>18.100000000000001</v>
      </c>
      <c r="R386" t="str">
        <f>IF(ISNUMBER(Table3[[#This Row],[Thickness]]), "Zenith", "")</f>
        <v>Zenith</v>
      </c>
      <c r="S386">
        <v>4</v>
      </c>
      <c r="T386">
        <v>200</v>
      </c>
    </row>
    <row r="387" spans="1:20" x14ac:dyDescent="0.85">
      <c r="A387" s="429" t="s">
        <v>730</v>
      </c>
      <c r="B387" s="429" t="s">
        <v>763</v>
      </c>
      <c r="C387" s="430">
        <v>51.25</v>
      </c>
      <c r="D387" s="430"/>
      <c r="E387" s="430" t="s">
        <v>757</v>
      </c>
      <c r="F387" s="431">
        <v>5</v>
      </c>
      <c r="G387" s="431">
        <v>1400</v>
      </c>
      <c r="H387" s="431">
        <v>10000</v>
      </c>
      <c r="I387" s="431" t="s">
        <v>777</v>
      </c>
      <c r="J387" s="432" t="s">
        <v>215</v>
      </c>
      <c r="K387" s="432">
        <v>-30</v>
      </c>
      <c r="L387" s="432">
        <v>90</v>
      </c>
      <c r="M387" s="432" t="s">
        <v>577</v>
      </c>
      <c r="N387" s="432">
        <v>70</v>
      </c>
      <c r="O387" s="431">
        <v>2</v>
      </c>
      <c r="P387" s="431" t="s">
        <v>178</v>
      </c>
      <c r="Q387" s="430">
        <f>C387*((100-Discounts!$B$22)/100)</f>
        <v>20.5</v>
      </c>
      <c r="R387" t="str">
        <f>IF(ISNUMBER(Table3[[#This Row],[Thickness]]), "Zenith", "")</f>
        <v>Zenith</v>
      </c>
      <c r="S387">
        <v>4</v>
      </c>
      <c r="T387">
        <v>200</v>
      </c>
    </row>
    <row r="388" spans="1:20" x14ac:dyDescent="0.85">
      <c r="A388" s="433" t="s">
        <v>729</v>
      </c>
      <c r="B388" s="429" t="s">
        <v>763</v>
      </c>
      <c r="C388" s="434">
        <v>57.75</v>
      </c>
      <c r="D388" s="434"/>
      <c r="E388" s="430" t="s">
        <v>757</v>
      </c>
      <c r="F388" s="435">
        <v>6</v>
      </c>
      <c r="G388" s="435">
        <v>1400</v>
      </c>
      <c r="H388" s="435">
        <v>10000</v>
      </c>
      <c r="I388" s="431" t="s">
        <v>777</v>
      </c>
      <c r="J388" s="432" t="s">
        <v>215</v>
      </c>
      <c r="K388" s="432">
        <v>-30</v>
      </c>
      <c r="L388" s="432">
        <v>90</v>
      </c>
      <c r="M388" s="432" t="s">
        <v>577</v>
      </c>
      <c r="N388" s="432">
        <v>70</v>
      </c>
      <c r="O388" s="435">
        <v>2</v>
      </c>
      <c r="P388" s="435" t="s">
        <v>178</v>
      </c>
      <c r="Q388" s="434">
        <f>C388*((100-Discounts!$B$22)/100)</f>
        <v>23.1</v>
      </c>
      <c r="R388" t="str">
        <f>IF(ISNUMBER(Table3[[#This Row],[Thickness]]), "Zenith", "")</f>
        <v>Zenith</v>
      </c>
      <c r="S388">
        <v>4</v>
      </c>
      <c r="T388">
        <v>200</v>
      </c>
    </row>
    <row r="389" spans="1:20" x14ac:dyDescent="0.85">
      <c r="A389" s="429" t="s">
        <v>728</v>
      </c>
      <c r="B389" s="429" t="s">
        <v>763</v>
      </c>
      <c r="C389" s="430">
        <v>72</v>
      </c>
      <c r="D389" s="430"/>
      <c r="E389" s="430" t="s">
        <v>757</v>
      </c>
      <c r="F389" s="431">
        <v>8</v>
      </c>
      <c r="G389" s="431">
        <v>1400</v>
      </c>
      <c r="H389" s="431">
        <v>5000</v>
      </c>
      <c r="I389" s="431" t="s">
        <v>777</v>
      </c>
      <c r="J389" s="432" t="s">
        <v>215</v>
      </c>
      <c r="K389" s="432">
        <v>-30</v>
      </c>
      <c r="L389" s="432">
        <v>90</v>
      </c>
      <c r="M389" s="432" t="s">
        <v>577</v>
      </c>
      <c r="N389" s="432">
        <v>70</v>
      </c>
      <c r="O389" s="431">
        <v>2</v>
      </c>
      <c r="P389" s="431" t="s">
        <v>178</v>
      </c>
      <c r="Q389" s="430">
        <f>C389*((100-Discounts!$B$22)/100)</f>
        <v>28.8</v>
      </c>
      <c r="R389" t="str">
        <f>IF(ISNUMBER(Table3[[#This Row],[Thickness]]), "Zenith", "")</f>
        <v>Zenith</v>
      </c>
      <c r="S389">
        <v>4</v>
      </c>
      <c r="T389">
        <v>200</v>
      </c>
    </row>
    <row r="390" spans="1:20" x14ac:dyDescent="0.85">
      <c r="A390" s="433" t="s">
        <v>727</v>
      </c>
      <c r="B390" s="429" t="s">
        <v>763</v>
      </c>
      <c r="C390" s="434">
        <v>87.75</v>
      </c>
      <c r="D390" s="434"/>
      <c r="E390" s="430" t="s">
        <v>757</v>
      </c>
      <c r="F390" s="435">
        <v>10</v>
      </c>
      <c r="G390" s="435">
        <v>1200</v>
      </c>
      <c r="H390" s="435">
        <v>10000</v>
      </c>
      <c r="I390" s="431" t="s">
        <v>777</v>
      </c>
      <c r="J390" s="432" t="s">
        <v>215</v>
      </c>
      <c r="K390" s="432">
        <v>-30</v>
      </c>
      <c r="L390" s="432">
        <v>90</v>
      </c>
      <c r="M390" s="432" t="s">
        <v>577</v>
      </c>
      <c r="N390" s="432">
        <v>70</v>
      </c>
      <c r="O390" s="435">
        <v>2</v>
      </c>
      <c r="P390" s="435" t="s">
        <v>178</v>
      </c>
      <c r="Q390" s="434">
        <f>C390*((100-Discounts!$B$22)/100)</f>
        <v>35.1</v>
      </c>
      <c r="R390" t="str">
        <f>IF(ISNUMBER(Table3[[#This Row],[Thickness]]), "Zenith", "")</f>
        <v>Zenith</v>
      </c>
      <c r="S390">
        <v>4</v>
      </c>
      <c r="T390">
        <v>200</v>
      </c>
    </row>
    <row r="391" spans="1:20" x14ac:dyDescent="0.85">
      <c r="A391" s="429" t="s">
        <v>727</v>
      </c>
      <c r="B391" s="429" t="s">
        <v>763</v>
      </c>
      <c r="C391" s="430">
        <v>87.75</v>
      </c>
      <c r="D391" s="430"/>
      <c r="E391" s="430" t="s">
        <v>757</v>
      </c>
      <c r="F391" s="431">
        <v>10</v>
      </c>
      <c r="G391" s="431">
        <v>1400</v>
      </c>
      <c r="H391" s="431">
        <v>5000</v>
      </c>
      <c r="I391" s="431" t="s">
        <v>777</v>
      </c>
      <c r="J391" s="432" t="s">
        <v>215</v>
      </c>
      <c r="K391" s="432">
        <v>-30</v>
      </c>
      <c r="L391" s="432">
        <v>90</v>
      </c>
      <c r="M391" s="432" t="s">
        <v>577</v>
      </c>
      <c r="N391" s="432">
        <v>70</v>
      </c>
      <c r="O391" s="431">
        <v>2</v>
      </c>
      <c r="P391" s="431" t="s">
        <v>178</v>
      </c>
      <c r="Q391" s="430">
        <f>C391*((100-Discounts!$B$22)/100)</f>
        <v>35.1</v>
      </c>
      <c r="R391" t="str">
        <f>IF(ISNUMBER(Table3[[#This Row],[Thickness]]), "Zenith", "")</f>
        <v>Zenith</v>
      </c>
      <c r="S391">
        <v>4</v>
      </c>
      <c r="T391">
        <v>200</v>
      </c>
    </row>
    <row r="392" spans="1:20" x14ac:dyDescent="0.85">
      <c r="A392" s="433" t="s">
        <v>727</v>
      </c>
      <c r="B392" s="429" t="s">
        <v>763</v>
      </c>
      <c r="C392" s="434">
        <v>87.75</v>
      </c>
      <c r="D392" s="434"/>
      <c r="E392" s="430" t="s">
        <v>757</v>
      </c>
      <c r="F392" s="435">
        <v>10</v>
      </c>
      <c r="G392" s="435">
        <v>1400</v>
      </c>
      <c r="H392" s="435">
        <v>10000</v>
      </c>
      <c r="I392" s="431" t="s">
        <v>777</v>
      </c>
      <c r="J392" s="432" t="s">
        <v>215</v>
      </c>
      <c r="K392" s="432">
        <v>-30</v>
      </c>
      <c r="L392" s="432">
        <v>90</v>
      </c>
      <c r="M392" s="432" t="s">
        <v>577</v>
      </c>
      <c r="N392" s="432">
        <v>70</v>
      </c>
      <c r="O392" s="435">
        <v>2</v>
      </c>
      <c r="P392" s="435" t="s">
        <v>178</v>
      </c>
      <c r="Q392" s="434">
        <f>C392*((100-Discounts!$B$22)/100)</f>
        <v>35.1</v>
      </c>
      <c r="R392" t="str">
        <f>IF(ISNUMBER(Table3[[#This Row],[Thickness]]), "Zenith", "")</f>
        <v>Zenith</v>
      </c>
      <c r="S392">
        <v>4</v>
      </c>
      <c r="T392">
        <v>200</v>
      </c>
    </row>
    <row r="393" spans="1:20" ht="27" thickBot="1" x14ac:dyDescent="0.9">
      <c r="A393" s="373"/>
      <c r="B393" s="374"/>
      <c r="C393" s="375"/>
      <c r="D393" s="375"/>
      <c r="E393" s="375"/>
      <c r="F393" s="376" t="s">
        <v>405</v>
      </c>
      <c r="G393" s="376">
        <v>0</v>
      </c>
      <c r="H393" s="329">
        <v>0</v>
      </c>
      <c r="I393" s="217" t="s">
        <v>777</v>
      </c>
      <c r="J393" t="s">
        <v>215</v>
      </c>
      <c r="M393" s="352"/>
      <c r="N393" s="349"/>
      <c r="O393" s="329"/>
      <c r="P393" s="329"/>
      <c r="Q393" s="377" t="s">
        <v>323</v>
      </c>
      <c r="R393" t="str">
        <f>IF(ISNUMBER(Table3[[#This Row],[Thickness]]), "Zenith", "")</f>
        <v/>
      </c>
    </row>
    <row r="394" spans="1:20" ht="54" thickTop="1" thickBot="1" x14ac:dyDescent="0.9">
      <c r="A394" s="126" t="s">
        <v>322</v>
      </c>
      <c r="B394" s="301"/>
      <c r="C394" s="256" t="s">
        <v>179</v>
      </c>
      <c r="D394" s="314"/>
      <c r="E394" s="314"/>
      <c r="F394" s="254" t="s">
        <v>320</v>
      </c>
      <c r="G394" s="254" t="e">
        <v>#VALUE!</v>
      </c>
      <c r="H394" s="255" t="e">
        <v>#VALUE!</v>
      </c>
      <c r="I394" s="217" t="s">
        <v>777</v>
      </c>
      <c r="J394" t="s">
        <v>215</v>
      </c>
      <c r="M394" s="231"/>
      <c r="N394" s="233"/>
      <c r="O394" s="255" t="s">
        <v>171</v>
      </c>
      <c r="P394" s="255" t="s">
        <v>325</v>
      </c>
      <c r="Q394" s="255" t="s">
        <v>199</v>
      </c>
      <c r="R394" t="str">
        <f>IF(ISNUMBER(Table3[[#This Row],[Thickness]]), "Zenith", "")</f>
        <v/>
      </c>
    </row>
    <row r="395" spans="1:20" ht="27" thickTop="1" x14ac:dyDescent="0.85">
      <c r="A395" s="429" t="s">
        <v>396</v>
      </c>
      <c r="B395" s="429" t="s">
        <v>405</v>
      </c>
      <c r="C395" s="430">
        <v>75.75</v>
      </c>
      <c r="D395" s="430"/>
      <c r="E395" s="430" t="s">
        <v>757</v>
      </c>
      <c r="F395" s="431">
        <v>10</v>
      </c>
      <c r="G395" s="431">
        <v>1000</v>
      </c>
      <c r="H395" s="431">
        <v>1000</v>
      </c>
      <c r="I395" s="431" t="s">
        <v>777</v>
      </c>
      <c r="J395" s="432" t="s">
        <v>215</v>
      </c>
      <c r="K395" s="432">
        <v>-30</v>
      </c>
      <c r="L395" s="432">
        <v>90</v>
      </c>
      <c r="M395" s="432" t="s">
        <v>577</v>
      </c>
      <c r="N395" s="432">
        <v>70</v>
      </c>
      <c r="O395" s="431" t="s">
        <v>168</v>
      </c>
      <c r="P395" s="431" t="s">
        <v>168</v>
      </c>
      <c r="Q395" s="430">
        <f>C395*((100-Discounts!$B$22)/100)</f>
        <v>30.3</v>
      </c>
      <c r="R395" t="str">
        <f>IF(ISNUMBER(Table3[[#This Row],[Thickness]]), "Zenith", "")</f>
        <v>Zenith</v>
      </c>
      <c r="S395">
        <v>4</v>
      </c>
      <c r="T395">
        <v>200</v>
      </c>
    </row>
    <row r="396" spans="1:20" x14ac:dyDescent="0.85">
      <c r="A396" s="433" t="s">
        <v>397</v>
      </c>
      <c r="B396" s="429" t="s">
        <v>405</v>
      </c>
      <c r="C396" s="434">
        <v>110.25</v>
      </c>
      <c r="D396" s="434"/>
      <c r="E396" s="430" t="s">
        <v>757</v>
      </c>
      <c r="F396" s="435">
        <v>15</v>
      </c>
      <c r="G396" s="435">
        <v>1000</v>
      </c>
      <c r="H396" s="435">
        <v>1000</v>
      </c>
      <c r="I396" s="431" t="s">
        <v>777</v>
      </c>
      <c r="J396" s="432" t="s">
        <v>215</v>
      </c>
      <c r="K396" s="432">
        <v>-30</v>
      </c>
      <c r="L396" s="432">
        <v>90</v>
      </c>
      <c r="M396" s="432" t="s">
        <v>577</v>
      </c>
      <c r="N396" s="432">
        <v>70</v>
      </c>
      <c r="O396" s="435" t="s">
        <v>168</v>
      </c>
      <c r="P396" s="435" t="s">
        <v>168</v>
      </c>
      <c r="Q396" s="434">
        <f>C396*((100-Discounts!$B$22)/100)</f>
        <v>44.1</v>
      </c>
      <c r="R396" t="str">
        <f>IF(ISNUMBER(Table3[[#This Row],[Thickness]]), "Zenith", "")</f>
        <v>Zenith</v>
      </c>
      <c r="S396">
        <v>4</v>
      </c>
      <c r="T396">
        <v>200</v>
      </c>
    </row>
    <row r="397" spans="1:20" x14ac:dyDescent="0.85">
      <c r="A397" s="429" t="s">
        <v>398</v>
      </c>
      <c r="B397" s="429" t="s">
        <v>405</v>
      </c>
      <c r="C397" s="430">
        <v>145.75</v>
      </c>
      <c r="D397" s="430"/>
      <c r="E397" s="430" t="s">
        <v>757</v>
      </c>
      <c r="F397" s="431">
        <v>20</v>
      </c>
      <c r="G397" s="431">
        <v>1000</v>
      </c>
      <c r="H397" s="431">
        <v>1000</v>
      </c>
      <c r="I397" s="431" t="s">
        <v>777</v>
      </c>
      <c r="J397" s="432" t="s">
        <v>215</v>
      </c>
      <c r="K397" s="432">
        <v>-30</v>
      </c>
      <c r="L397" s="432">
        <v>90</v>
      </c>
      <c r="M397" s="432" t="s">
        <v>577</v>
      </c>
      <c r="N397" s="432">
        <v>70</v>
      </c>
      <c r="O397" s="431" t="s">
        <v>168</v>
      </c>
      <c r="P397" s="431" t="s">
        <v>168</v>
      </c>
      <c r="Q397" s="430">
        <f>C397*((100-Discounts!$B$22)/100)</f>
        <v>58.300000000000004</v>
      </c>
      <c r="R397" t="str">
        <f>IF(ISNUMBER(Table3[[#This Row],[Thickness]]), "Zenith", "")</f>
        <v>Zenith</v>
      </c>
      <c r="S397">
        <v>4</v>
      </c>
      <c r="T397">
        <v>200</v>
      </c>
    </row>
    <row r="398" spans="1:20" x14ac:dyDescent="0.85">
      <c r="A398" s="433" t="s">
        <v>34</v>
      </c>
      <c r="B398" s="429" t="s">
        <v>405</v>
      </c>
      <c r="C398" s="434">
        <v>141.5</v>
      </c>
      <c r="D398" s="434"/>
      <c r="E398" s="430" t="s">
        <v>757</v>
      </c>
      <c r="F398" s="435">
        <v>20</v>
      </c>
      <c r="G398" s="435">
        <v>1400</v>
      </c>
      <c r="H398" s="435">
        <v>2000</v>
      </c>
      <c r="I398" s="431" t="s">
        <v>777</v>
      </c>
      <c r="J398" s="432" t="s">
        <v>215</v>
      </c>
      <c r="K398" s="432">
        <v>-30</v>
      </c>
      <c r="L398" s="432">
        <v>90</v>
      </c>
      <c r="M398" s="432" t="s">
        <v>577</v>
      </c>
      <c r="N398" s="432">
        <v>70</v>
      </c>
      <c r="O398" s="435" t="s">
        <v>168</v>
      </c>
      <c r="P398" s="435" t="s">
        <v>168</v>
      </c>
      <c r="Q398" s="434">
        <f>C398*((100-Discounts!$B$22)/100)</f>
        <v>56.6</v>
      </c>
      <c r="R398" t="str">
        <f>IF(ISNUMBER(Table3[[#This Row],[Thickness]]), "Zenith", "")</f>
        <v>Zenith</v>
      </c>
      <c r="S398">
        <v>4</v>
      </c>
      <c r="T398">
        <v>200</v>
      </c>
    </row>
    <row r="399" spans="1:20" x14ac:dyDescent="0.85">
      <c r="A399" s="429" t="s">
        <v>399</v>
      </c>
      <c r="B399" s="429" t="s">
        <v>405</v>
      </c>
      <c r="C399" s="430">
        <v>218.75</v>
      </c>
      <c r="D399" s="430"/>
      <c r="E399" s="430" t="s">
        <v>757</v>
      </c>
      <c r="F399" s="431">
        <v>20</v>
      </c>
      <c r="G399" s="431">
        <v>1500</v>
      </c>
      <c r="H399" s="431">
        <v>1000</v>
      </c>
      <c r="I399" s="431" t="s">
        <v>777</v>
      </c>
      <c r="J399" s="432" t="s">
        <v>215</v>
      </c>
      <c r="K399" s="432">
        <v>-30</v>
      </c>
      <c r="L399" s="432">
        <v>90</v>
      </c>
      <c r="M399" s="432" t="s">
        <v>577</v>
      </c>
      <c r="N399" s="432">
        <v>70</v>
      </c>
      <c r="O399" s="431" t="s">
        <v>168</v>
      </c>
      <c r="P399" s="431" t="s">
        <v>168</v>
      </c>
      <c r="Q399" s="430">
        <f>C399*((100-Discounts!$B$22)/100)</f>
        <v>87.5</v>
      </c>
      <c r="R399" t="str">
        <f>IF(ISNUMBER(Table3[[#This Row],[Thickness]]), "Zenith", "")</f>
        <v>Zenith</v>
      </c>
      <c r="S399">
        <v>4</v>
      </c>
      <c r="T399">
        <v>200</v>
      </c>
    </row>
    <row r="400" spans="1:20" x14ac:dyDescent="0.85">
      <c r="A400" s="433" t="s">
        <v>400</v>
      </c>
      <c r="B400" s="429" t="s">
        <v>405</v>
      </c>
      <c r="C400" s="434">
        <v>182</v>
      </c>
      <c r="D400" s="434"/>
      <c r="E400" s="430" t="s">
        <v>757</v>
      </c>
      <c r="F400" s="435">
        <v>25</v>
      </c>
      <c r="G400" s="435">
        <v>1000</v>
      </c>
      <c r="H400" s="435">
        <v>1000</v>
      </c>
      <c r="I400" s="431" t="s">
        <v>777</v>
      </c>
      <c r="J400" s="432" t="s">
        <v>215</v>
      </c>
      <c r="K400" s="432">
        <v>-30</v>
      </c>
      <c r="L400" s="432">
        <v>90</v>
      </c>
      <c r="M400" s="432" t="s">
        <v>577</v>
      </c>
      <c r="N400" s="432">
        <v>70</v>
      </c>
      <c r="O400" s="435" t="s">
        <v>168</v>
      </c>
      <c r="P400" s="435" t="s">
        <v>168</v>
      </c>
      <c r="Q400" s="434">
        <f>C400*((100-Discounts!$B$22)/100)</f>
        <v>72.8</v>
      </c>
      <c r="R400" t="str">
        <f>IF(ISNUMBER(Table3[[#This Row],[Thickness]]), "Zenith", "")</f>
        <v>Zenith</v>
      </c>
      <c r="S400">
        <v>4</v>
      </c>
      <c r="T400">
        <v>200</v>
      </c>
    </row>
    <row r="401" spans="1:20" x14ac:dyDescent="0.85">
      <c r="A401" s="429" t="s">
        <v>401</v>
      </c>
      <c r="B401" s="429" t="s">
        <v>405</v>
      </c>
      <c r="C401" s="430">
        <v>273</v>
      </c>
      <c r="D401" s="430"/>
      <c r="E401" s="430" t="s">
        <v>757</v>
      </c>
      <c r="F401" s="431">
        <v>25</v>
      </c>
      <c r="G401" s="431">
        <v>1500</v>
      </c>
      <c r="H401" s="431">
        <v>1000</v>
      </c>
      <c r="I401" s="431" t="s">
        <v>777</v>
      </c>
      <c r="J401" s="432" t="s">
        <v>215</v>
      </c>
      <c r="K401" s="432">
        <v>-30</v>
      </c>
      <c r="L401" s="432">
        <v>90</v>
      </c>
      <c r="M401" s="432" t="s">
        <v>577</v>
      </c>
      <c r="N401" s="432">
        <v>70</v>
      </c>
      <c r="O401" s="431" t="s">
        <v>168</v>
      </c>
      <c r="P401" s="431" t="s">
        <v>168</v>
      </c>
      <c r="Q401" s="430">
        <f>C401*((100-Discounts!$B$22)/100)</f>
        <v>109.2</v>
      </c>
      <c r="R401" t="str">
        <f>IF(ISNUMBER(Table3[[#This Row],[Thickness]]), "Zenith", "")</f>
        <v>Zenith</v>
      </c>
      <c r="S401">
        <v>4</v>
      </c>
      <c r="T401">
        <v>200</v>
      </c>
    </row>
    <row r="402" spans="1:20" x14ac:dyDescent="0.85">
      <c r="A402" s="433" t="s">
        <v>184</v>
      </c>
      <c r="B402" s="429" t="s">
        <v>405</v>
      </c>
      <c r="C402" s="434">
        <v>212.25</v>
      </c>
      <c r="D402" s="434"/>
      <c r="E402" s="430" t="s">
        <v>757</v>
      </c>
      <c r="F402" s="435">
        <v>30</v>
      </c>
      <c r="G402" s="435">
        <v>1400</v>
      </c>
      <c r="H402" s="435">
        <v>2000</v>
      </c>
      <c r="I402" s="431" t="s">
        <v>777</v>
      </c>
      <c r="J402" s="432" t="s">
        <v>215</v>
      </c>
      <c r="K402" s="432">
        <v>-30</v>
      </c>
      <c r="L402" s="432">
        <v>90</v>
      </c>
      <c r="M402" s="432" t="s">
        <v>577</v>
      </c>
      <c r="N402" s="432">
        <v>70</v>
      </c>
      <c r="O402" s="435" t="s">
        <v>168</v>
      </c>
      <c r="P402" s="435" t="s">
        <v>168</v>
      </c>
      <c r="Q402" s="434">
        <f>C402*((100-Discounts!$B$22)/100)</f>
        <v>84.9</v>
      </c>
      <c r="R402" t="str">
        <f>IF(ISNUMBER(Table3[[#This Row],[Thickness]]), "Zenith", "")</f>
        <v>Zenith</v>
      </c>
      <c r="S402">
        <v>4</v>
      </c>
      <c r="T402">
        <v>200</v>
      </c>
    </row>
    <row r="403" spans="1:20" x14ac:dyDescent="0.85">
      <c r="A403" s="429" t="s">
        <v>402</v>
      </c>
      <c r="B403" s="429" t="s">
        <v>405</v>
      </c>
      <c r="C403" s="430">
        <v>334.5</v>
      </c>
      <c r="D403" s="430"/>
      <c r="E403" s="430" t="s">
        <v>757</v>
      </c>
      <c r="F403" s="431">
        <v>30</v>
      </c>
      <c r="G403" s="431">
        <v>1500</v>
      </c>
      <c r="H403" s="431">
        <v>1000</v>
      </c>
      <c r="I403" s="431" t="s">
        <v>777</v>
      </c>
      <c r="J403" s="432" t="s">
        <v>215</v>
      </c>
      <c r="K403" s="432">
        <v>-30</v>
      </c>
      <c r="L403" s="432">
        <v>90</v>
      </c>
      <c r="M403" s="432" t="s">
        <v>577</v>
      </c>
      <c r="N403" s="432">
        <v>70</v>
      </c>
      <c r="O403" s="431" t="s">
        <v>168</v>
      </c>
      <c r="P403" s="431" t="s">
        <v>168</v>
      </c>
      <c r="Q403" s="430">
        <f>C403*((100-Discounts!$B$22)/100)</f>
        <v>133.80000000000001</v>
      </c>
      <c r="R403" t="str">
        <f>IF(ISNUMBER(Table3[[#This Row],[Thickness]]), "Zenith", "")</f>
        <v>Zenith</v>
      </c>
      <c r="S403">
        <v>4</v>
      </c>
      <c r="T403">
        <v>200</v>
      </c>
    </row>
    <row r="404" spans="1:20" x14ac:dyDescent="0.85">
      <c r="A404" s="433" t="s">
        <v>185</v>
      </c>
      <c r="B404" s="429" t="s">
        <v>405</v>
      </c>
      <c r="C404" s="434">
        <v>291.25</v>
      </c>
      <c r="D404" s="434"/>
      <c r="E404" s="430" t="s">
        <v>757</v>
      </c>
      <c r="F404" s="435">
        <v>40</v>
      </c>
      <c r="G404" s="435">
        <v>1400</v>
      </c>
      <c r="H404" s="435">
        <v>2000</v>
      </c>
      <c r="I404" s="431" t="s">
        <v>777</v>
      </c>
      <c r="J404" s="432" t="s">
        <v>215</v>
      </c>
      <c r="K404" s="432">
        <v>-30</v>
      </c>
      <c r="L404" s="432">
        <v>90</v>
      </c>
      <c r="M404" s="432" t="s">
        <v>577</v>
      </c>
      <c r="N404" s="432">
        <v>70</v>
      </c>
      <c r="O404" s="435" t="s">
        <v>168</v>
      </c>
      <c r="P404" s="435" t="s">
        <v>168</v>
      </c>
      <c r="Q404" s="434">
        <f>C404*((100-Discounts!$B$22)/100)</f>
        <v>116.5</v>
      </c>
      <c r="R404" t="str">
        <f>IF(ISNUMBER(Table3[[#This Row],[Thickness]]), "Zenith", "")</f>
        <v>Zenith</v>
      </c>
      <c r="S404">
        <v>4</v>
      </c>
      <c r="T404">
        <v>200</v>
      </c>
    </row>
    <row r="405" spans="1:20" x14ac:dyDescent="0.85">
      <c r="A405" s="429" t="s">
        <v>186</v>
      </c>
      <c r="B405" s="429" t="s">
        <v>405</v>
      </c>
      <c r="C405" s="430">
        <v>364.5</v>
      </c>
      <c r="D405" s="430"/>
      <c r="E405" s="430" t="s">
        <v>757</v>
      </c>
      <c r="F405" s="431">
        <v>50</v>
      </c>
      <c r="G405" s="431">
        <v>1400</v>
      </c>
      <c r="H405" s="431">
        <v>2000</v>
      </c>
      <c r="I405" s="431" t="s">
        <v>777</v>
      </c>
      <c r="J405" s="432" t="s">
        <v>215</v>
      </c>
      <c r="K405" s="432">
        <v>-30</v>
      </c>
      <c r="L405" s="432">
        <v>90</v>
      </c>
      <c r="M405" s="432" t="s">
        <v>577</v>
      </c>
      <c r="N405" s="432">
        <v>70</v>
      </c>
      <c r="O405" s="431" t="s">
        <v>168</v>
      </c>
      <c r="P405" s="431" t="s">
        <v>168</v>
      </c>
      <c r="Q405" s="430">
        <f>C405*((100-Discounts!$B$22)/100)</f>
        <v>145.80000000000001</v>
      </c>
      <c r="R405" t="str">
        <f>IF(ISNUMBER(Table3[[#This Row],[Thickness]]), "Zenith", "")</f>
        <v>Zenith</v>
      </c>
      <c r="S405">
        <v>4</v>
      </c>
      <c r="T405">
        <v>200</v>
      </c>
    </row>
    <row r="406" spans="1:20" ht="27" thickBot="1" x14ac:dyDescent="0.9">
      <c r="A406" s="373"/>
      <c r="B406" s="374"/>
      <c r="C406" s="375"/>
      <c r="D406" s="375"/>
      <c r="E406" s="375"/>
      <c r="F406" s="376" t="s">
        <v>217</v>
      </c>
      <c r="G406" s="376">
        <v>0</v>
      </c>
      <c r="H406" s="329">
        <v>0</v>
      </c>
      <c r="I406" s="217" t="s">
        <v>777</v>
      </c>
      <c r="J406" t="s">
        <v>215</v>
      </c>
      <c r="M406" s="348"/>
      <c r="N406" s="343"/>
      <c r="O406" s="329"/>
      <c r="P406" s="329"/>
      <c r="Q406" s="377" t="s">
        <v>323</v>
      </c>
      <c r="R406" t="str">
        <f>IF(ISNUMBER(Table3[[#This Row],[Thickness]]), "Zenith", "")</f>
        <v/>
      </c>
    </row>
    <row r="407" spans="1:20" ht="54" thickTop="1" thickBot="1" x14ac:dyDescent="0.9">
      <c r="A407" s="126" t="s">
        <v>322</v>
      </c>
      <c r="B407" s="301"/>
      <c r="C407" s="256" t="s">
        <v>179</v>
      </c>
      <c r="D407" s="314"/>
      <c r="E407" s="314"/>
      <c r="F407" s="254" t="s">
        <v>320</v>
      </c>
      <c r="G407" s="254" t="e">
        <v>#VALUE!</v>
      </c>
      <c r="H407" s="255" t="e">
        <v>#VALUE!</v>
      </c>
      <c r="I407" s="217" t="s">
        <v>777</v>
      </c>
      <c r="J407" t="s">
        <v>215</v>
      </c>
      <c r="M407" s="234"/>
      <c r="N407" s="230"/>
      <c r="O407" s="255" t="s">
        <v>171</v>
      </c>
      <c r="P407" s="255" t="s">
        <v>325</v>
      </c>
      <c r="Q407" s="255" t="s">
        <v>199</v>
      </c>
      <c r="R407" t="str">
        <f>IF(ISNUMBER(Table3[[#This Row],[Thickness]]), "Zenith", "")</f>
        <v/>
      </c>
    </row>
    <row r="408" spans="1:20" ht="27" thickTop="1" x14ac:dyDescent="0.85">
      <c r="A408" s="429" t="s">
        <v>59</v>
      </c>
      <c r="B408" s="429" t="s">
        <v>217</v>
      </c>
      <c r="C408" s="430">
        <v>14.5</v>
      </c>
      <c r="D408" s="430"/>
      <c r="E408" s="430" t="s">
        <v>757</v>
      </c>
      <c r="F408" s="431">
        <v>1</v>
      </c>
      <c r="G408" s="431">
        <v>1400</v>
      </c>
      <c r="H408" s="431">
        <v>20000</v>
      </c>
      <c r="I408" s="431" t="s">
        <v>777</v>
      </c>
      <c r="J408" s="432" t="s">
        <v>215</v>
      </c>
      <c r="K408" s="432">
        <v>-25</v>
      </c>
      <c r="L408" s="432">
        <v>80</v>
      </c>
      <c r="M408" s="432" t="s">
        <v>577</v>
      </c>
      <c r="N408" s="432">
        <v>70</v>
      </c>
      <c r="O408" s="431" t="s">
        <v>168</v>
      </c>
      <c r="P408" s="431" t="s">
        <v>168</v>
      </c>
      <c r="Q408" s="430">
        <f>C408*((100-Discounts!$B$23)/100)</f>
        <v>6.09</v>
      </c>
      <c r="R408" t="str">
        <f>IF(ISNUMBER(Table3[[#This Row],[Thickness]]), "Zenith", "")</f>
        <v>Zenith</v>
      </c>
      <c r="S408">
        <v>5</v>
      </c>
      <c r="T408">
        <v>250</v>
      </c>
    </row>
    <row r="409" spans="1:20" x14ac:dyDescent="0.85">
      <c r="A409" s="433" t="s">
        <v>406</v>
      </c>
      <c r="B409" s="429" t="s">
        <v>217</v>
      </c>
      <c r="C409" s="434">
        <v>20.25</v>
      </c>
      <c r="D409" s="434"/>
      <c r="E409" s="430" t="s">
        <v>757</v>
      </c>
      <c r="F409" s="435">
        <v>1.5</v>
      </c>
      <c r="G409" s="435">
        <v>1400</v>
      </c>
      <c r="H409" s="435">
        <v>15000</v>
      </c>
      <c r="I409" s="431" t="s">
        <v>777</v>
      </c>
      <c r="J409" s="432" t="s">
        <v>215</v>
      </c>
      <c r="K409" s="432">
        <v>-25</v>
      </c>
      <c r="L409" s="432">
        <v>80</v>
      </c>
      <c r="M409" s="432" t="s">
        <v>577</v>
      </c>
      <c r="N409" s="432">
        <v>70</v>
      </c>
      <c r="O409" s="435" t="s">
        <v>168</v>
      </c>
      <c r="P409" s="435" t="s">
        <v>168</v>
      </c>
      <c r="Q409" s="434">
        <f>C409*((100-Discounts!$B$23)/100)</f>
        <v>8.504999999999999</v>
      </c>
      <c r="R409" t="str">
        <f>IF(ISNUMBER(Table3[[#This Row],[Thickness]]), "Zenith", "")</f>
        <v>Zenith</v>
      </c>
      <c r="S409">
        <v>5</v>
      </c>
      <c r="T409">
        <v>250</v>
      </c>
    </row>
    <row r="410" spans="1:20" x14ac:dyDescent="0.85">
      <c r="A410" s="429" t="s">
        <v>60</v>
      </c>
      <c r="B410" s="429" t="s">
        <v>217</v>
      </c>
      <c r="C410" s="430">
        <v>25</v>
      </c>
      <c r="D410" s="430"/>
      <c r="E410" s="430" t="s">
        <v>757</v>
      </c>
      <c r="F410" s="431">
        <v>2</v>
      </c>
      <c r="G410" s="431">
        <v>1400</v>
      </c>
      <c r="H410" s="431">
        <v>10000</v>
      </c>
      <c r="I410" s="431" t="s">
        <v>777</v>
      </c>
      <c r="J410" s="432" t="s">
        <v>215</v>
      </c>
      <c r="K410" s="432">
        <v>-25</v>
      </c>
      <c r="L410" s="432">
        <v>80</v>
      </c>
      <c r="M410" s="432" t="s">
        <v>577</v>
      </c>
      <c r="N410" s="432">
        <v>70</v>
      </c>
      <c r="O410" s="431" t="s">
        <v>168</v>
      </c>
      <c r="P410" s="431" t="s">
        <v>168</v>
      </c>
      <c r="Q410" s="430">
        <f>C410*((100-Discounts!$B$23)/100)</f>
        <v>10.5</v>
      </c>
      <c r="R410" t="str">
        <f>IF(ISNUMBER(Table3[[#This Row],[Thickness]]), "Zenith", "")</f>
        <v>Zenith</v>
      </c>
      <c r="S410">
        <v>5</v>
      </c>
      <c r="T410">
        <v>250</v>
      </c>
    </row>
    <row r="411" spans="1:20" x14ac:dyDescent="0.85">
      <c r="A411" s="433" t="s">
        <v>61</v>
      </c>
      <c r="B411" s="429" t="s">
        <v>217</v>
      </c>
      <c r="C411" s="434">
        <v>34.75</v>
      </c>
      <c r="D411" s="434"/>
      <c r="E411" s="430" t="s">
        <v>757</v>
      </c>
      <c r="F411" s="435">
        <v>3</v>
      </c>
      <c r="G411" s="435">
        <v>1400</v>
      </c>
      <c r="H411" s="435">
        <v>10000</v>
      </c>
      <c r="I411" s="431" t="s">
        <v>777</v>
      </c>
      <c r="J411" s="432" t="s">
        <v>215</v>
      </c>
      <c r="K411" s="432">
        <v>-25</v>
      </c>
      <c r="L411" s="432">
        <v>80</v>
      </c>
      <c r="M411" s="432" t="s">
        <v>577</v>
      </c>
      <c r="N411" s="432">
        <v>70</v>
      </c>
      <c r="O411" s="435" t="s">
        <v>168</v>
      </c>
      <c r="P411" s="435" t="s">
        <v>168</v>
      </c>
      <c r="Q411" s="434">
        <f>C411*((100-Discounts!$B$23)/100)</f>
        <v>14.594999999999999</v>
      </c>
      <c r="R411" t="str">
        <f>IF(ISNUMBER(Table3[[#This Row],[Thickness]]), "Zenith", "")</f>
        <v>Zenith</v>
      </c>
      <c r="S411">
        <v>5</v>
      </c>
      <c r="T411">
        <v>250</v>
      </c>
    </row>
    <row r="412" spans="1:20" x14ac:dyDescent="0.85">
      <c r="A412" s="429" t="s">
        <v>62</v>
      </c>
      <c r="B412" s="429" t="s">
        <v>217</v>
      </c>
      <c r="C412" s="430">
        <v>46.25</v>
      </c>
      <c r="D412" s="430"/>
      <c r="E412" s="430" t="s">
        <v>757</v>
      </c>
      <c r="F412" s="431">
        <v>4</v>
      </c>
      <c r="G412" s="431">
        <v>1400</v>
      </c>
      <c r="H412" s="431">
        <v>10000</v>
      </c>
      <c r="I412" s="431" t="s">
        <v>777</v>
      </c>
      <c r="J412" s="432" t="s">
        <v>215</v>
      </c>
      <c r="K412" s="432">
        <v>-25</v>
      </c>
      <c r="L412" s="432">
        <v>80</v>
      </c>
      <c r="M412" s="432" t="s">
        <v>577</v>
      </c>
      <c r="N412" s="432">
        <v>70</v>
      </c>
      <c r="O412" s="431" t="s">
        <v>168</v>
      </c>
      <c r="P412" s="431" t="s">
        <v>168</v>
      </c>
      <c r="Q412" s="430">
        <f>C412*((100-Discounts!$B$23)/100)</f>
        <v>19.425000000000001</v>
      </c>
      <c r="R412" t="str">
        <f>IF(ISNUMBER(Table3[[#This Row],[Thickness]]), "Zenith", "")</f>
        <v>Zenith</v>
      </c>
      <c r="S412">
        <v>5</v>
      </c>
      <c r="T412">
        <v>250</v>
      </c>
    </row>
    <row r="413" spans="1:20" x14ac:dyDescent="0.85">
      <c r="A413" s="433" t="s">
        <v>63</v>
      </c>
      <c r="B413" s="429" t="s">
        <v>217</v>
      </c>
      <c r="C413" s="434">
        <v>57</v>
      </c>
      <c r="D413" s="434"/>
      <c r="E413" s="430" t="s">
        <v>757</v>
      </c>
      <c r="F413" s="435">
        <v>5</v>
      </c>
      <c r="G413" s="435">
        <v>1400</v>
      </c>
      <c r="H413" s="435">
        <v>10000</v>
      </c>
      <c r="I413" s="431" t="s">
        <v>777</v>
      </c>
      <c r="J413" s="432" t="s">
        <v>215</v>
      </c>
      <c r="K413" s="432">
        <v>-25</v>
      </c>
      <c r="L413" s="432">
        <v>80</v>
      </c>
      <c r="M413" s="432" t="s">
        <v>577</v>
      </c>
      <c r="N413" s="432">
        <v>70</v>
      </c>
      <c r="O413" s="435" t="s">
        <v>168</v>
      </c>
      <c r="P413" s="435" t="s">
        <v>168</v>
      </c>
      <c r="Q413" s="434">
        <f>C413*((100-Discounts!$B$23)/100)</f>
        <v>23.939999999999998</v>
      </c>
      <c r="R413" t="str">
        <f>IF(ISNUMBER(Table3[[#This Row],[Thickness]]), "Zenith", "")</f>
        <v>Zenith</v>
      </c>
      <c r="S413">
        <v>5</v>
      </c>
      <c r="T413">
        <v>250</v>
      </c>
    </row>
    <row r="414" spans="1:20" x14ac:dyDescent="0.85">
      <c r="A414" s="429" t="s">
        <v>64</v>
      </c>
      <c r="B414" s="429" t="s">
        <v>217</v>
      </c>
      <c r="C414" s="430">
        <v>67.75</v>
      </c>
      <c r="D414" s="430"/>
      <c r="E414" s="430" t="s">
        <v>757</v>
      </c>
      <c r="F414" s="431">
        <v>6</v>
      </c>
      <c r="G414" s="431">
        <v>1400</v>
      </c>
      <c r="H414" s="431">
        <v>10000</v>
      </c>
      <c r="I414" s="431" t="s">
        <v>777</v>
      </c>
      <c r="J414" s="432" t="s">
        <v>215</v>
      </c>
      <c r="K414" s="432">
        <v>-25</v>
      </c>
      <c r="L414" s="432">
        <v>80</v>
      </c>
      <c r="M414" s="432" t="s">
        <v>577</v>
      </c>
      <c r="N414" s="432">
        <v>70</v>
      </c>
      <c r="O414" s="431" t="s">
        <v>168</v>
      </c>
      <c r="P414" s="431" t="s">
        <v>168</v>
      </c>
      <c r="Q414" s="430">
        <f>C414*((100-Discounts!$B$23)/100)</f>
        <v>28.454999999999998</v>
      </c>
      <c r="R414" t="str">
        <f>IF(ISNUMBER(Table3[[#This Row],[Thickness]]), "Zenith", "")</f>
        <v>Zenith</v>
      </c>
      <c r="S414">
        <v>5</v>
      </c>
      <c r="T414">
        <v>250</v>
      </c>
    </row>
    <row r="415" spans="1:20" x14ac:dyDescent="0.85">
      <c r="A415" s="433" t="s">
        <v>65</v>
      </c>
      <c r="B415" s="429" t="s">
        <v>217</v>
      </c>
      <c r="C415" s="434">
        <v>89.25</v>
      </c>
      <c r="D415" s="434"/>
      <c r="E415" s="430" t="s">
        <v>757</v>
      </c>
      <c r="F415" s="435">
        <v>8</v>
      </c>
      <c r="G415" s="435">
        <v>1400</v>
      </c>
      <c r="H415" s="435">
        <v>5000</v>
      </c>
      <c r="I415" s="431" t="s">
        <v>777</v>
      </c>
      <c r="J415" s="432" t="s">
        <v>215</v>
      </c>
      <c r="K415" s="432">
        <v>-25</v>
      </c>
      <c r="L415" s="432">
        <v>80</v>
      </c>
      <c r="M415" s="432" t="s">
        <v>577</v>
      </c>
      <c r="N415" s="432">
        <v>70</v>
      </c>
      <c r="O415" s="435" t="s">
        <v>168</v>
      </c>
      <c r="P415" s="435" t="s">
        <v>168</v>
      </c>
      <c r="Q415" s="434">
        <f>C415*((100-Discounts!$B$23)/100)</f>
        <v>37.484999999999999</v>
      </c>
      <c r="R415" t="str">
        <f>IF(ISNUMBER(Table3[[#This Row],[Thickness]]), "Zenith", "")</f>
        <v>Zenith</v>
      </c>
      <c r="S415">
        <v>5</v>
      </c>
      <c r="T415">
        <v>250</v>
      </c>
    </row>
    <row r="416" spans="1:20" x14ac:dyDescent="0.85">
      <c r="A416" s="429" t="s">
        <v>407</v>
      </c>
      <c r="B416" s="429" t="s">
        <v>217</v>
      </c>
      <c r="C416" s="430">
        <v>110.25</v>
      </c>
      <c r="D416" s="430"/>
      <c r="E416" s="430" t="s">
        <v>757</v>
      </c>
      <c r="F416" s="431">
        <v>10</v>
      </c>
      <c r="G416" s="431">
        <v>1400</v>
      </c>
      <c r="H416" s="431">
        <v>5000</v>
      </c>
      <c r="I416" s="431" t="s">
        <v>777</v>
      </c>
      <c r="J416" s="432" t="s">
        <v>215</v>
      </c>
      <c r="K416" s="432">
        <v>-25</v>
      </c>
      <c r="L416" s="432">
        <v>80</v>
      </c>
      <c r="M416" s="432" t="s">
        <v>577</v>
      </c>
      <c r="N416" s="432">
        <v>70</v>
      </c>
      <c r="O416" s="431" t="s">
        <v>168</v>
      </c>
      <c r="P416" s="431" t="s">
        <v>168</v>
      </c>
      <c r="Q416" s="430">
        <f>C416*((100-Discounts!$B$23)/100)</f>
        <v>46.305</v>
      </c>
      <c r="R416" t="str">
        <f>IF(ISNUMBER(Table3[[#This Row],[Thickness]]), "Zenith", "")</f>
        <v>Zenith</v>
      </c>
      <c r="S416">
        <v>5</v>
      </c>
      <c r="T416">
        <v>250</v>
      </c>
    </row>
    <row r="417" spans="1:20" x14ac:dyDescent="0.85">
      <c r="A417" s="433" t="s">
        <v>66</v>
      </c>
      <c r="B417" s="429" t="s">
        <v>217</v>
      </c>
      <c r="C417" s="434">
        <v>110.25</v>
      </c>
      <c r="D417" s="434"/>
      <c r="E417" s="430" t="s">
        <v>757</v>
      </c>
      <c r="F417" s="435">
        <v>10</v>
      </c>
      <c r="G417" s="435">
        <v>1400</v>
      </c>
      <c r="H417" s="435">
        <v>10000</v>
      </c>
      <c r="I417" s="431" t="s">
        <v>777</v>
      </c>
      <c r="J417" s="432" t="s">
        <v>215</v>
      </c>
      <c r="K417" s="432">
        <v>-25</v>
      </c>
      <c r="L417" s="432">
        <v>80</v>
      </c>
      <c r="M417" s="432" t="s">
        <v>577</v>
      </c>
      <c r="N417" s="432">
        <v>70</v>
      </c>
      <c r="O417" s="435" t="s">
        <v>168</v>
      </c>
      <c r="P417" s="435" t="s">
        <v>168</v>
      </c>
      <c r="Q417" s="434">
        <f>C417*((100-Discounts!$B$23)/100)</f>
        <v>46.305</v>
      </c>
      <c r="R417" t="str">
        <f>IF(ISNUMBER(Table3[[#This Row],[Thickness]]), "Zenith", "")</f>
        <v>Zenith</v>
      </c>
      <c r="S417">
        <v>5</v>
      </c>
      <c r="T417">
        <v>250</v>
      </c>
    </row>
    <row r="418" spans="1:20" ht="27" thickBot="1" x14ac:dyDescent="0.9">
      <c r="A418" s="373"/>
      <c r="B418" s="374"/>
      <c r="C418" s="375"/>
      <c r="D418" s="375"/>
      <c r="E418" s="375"/>
      <c r="F418" s="376" t="s">
        <v>218</v>
      </c>
      <c r="G418" s="376">
        <v>0</v>
      </c>
      <c r="H418" s="329">
        <v>0</v>
      </c>
      <c r="I418" s="217" t="s">
        <v>777</v>
      </c>
      <c r="J418" t="s">
        <v>215</v>
      </c>
      <c r="M418" s="348"/>
      <c r="N418" s="343"/>
      <c r="O418" s="329"/>
      <c r="P418" s="329"/>
      <c r="Q418" s="377" t="s">
        <v>323</v>
      </c>
      <c r="R418" t="str">
        <f>IF(ISNUMBER(Table3[[#This Row],[Thickness]]), "Zenith", "")</f>
        <v/>
      </c>
    </row>
    <row r="419" spans="1:20" ht="54" thickTop="1" thickBot="1" x14ac:dyDescent="0.9">
      <c r="A419" s="126" t="s">
        <v>322</v>
      </c>
      <c r="B419" s="301"/>
      <c r="C419" s="256" t="s">
        <v>179</v>
      </c>
      <c r="D419" s="314"/>
      <c r="E419" s="314"/>
      <c r="F419" s="254" t="s">
        <v>320</v>
      </c>
      <c r="G419" s="254" t="e">
        <v>#VALUE!</v>
      </c>
      <c r="H419" s="255" t="e">
        <v>#VALUE!</v>
      </c>
      <c r="I419" s="217" t="s">
        <v>777</v>
      </c>
      <c r="J419" t="s">
        <v>215</v>
      </c>
      <c r="M419" s="234"/>
      <c r="N419" s="230"/>
      <c r="O419" s="255" t="s">
        <v>171</v>
      </c>
      <c r="P419" s="255" t="s">
        <v>325</v>
      </c>
      <c r="Q419" s="255" t="s">
        <v>199</v>
      </c>
      <c r="R419" t="str">
        <f>IF(ISNUMBER(Table3[[#This Row],[Thickness]]), "Zenith", "")</f>
        <v/>
      </c>
    </row>
    <row r="420" spans="1:20" ht="27" thickTop="1" x14ac:dyDescent="0.85">
      <c r="A420" s="429" t="s">
        <v>58</v>
      </c>
      <c r="B420" s="429" t="s">
        <v>218</v>
      </c>
      <c r="C420" s="430">
        <v>28.5</v>
      </c>
      <c r="D420" s="430"/>
      <c r="E420" s="430" t="s">
        <v>757</v>
      </c>
      <c r="F420" s="431">
        <v>1</v>
      </c>
      <c r="G420" s="431">
        <v>1400</v>
      </c>
      <c r="H420" s="431">
        <v>20000</v>
      </c>
      <c r="I420" s="431" t="s">
        <v>777</v>
      </c>
      <c r="J420" s="432" t="s">
        <v>215</v>
      </c>
      <c r="K420" s="432">
        <v>-30</v>
      </c>
      <c r="L420" s="432">
        <v>100</v>
      </c>
      <c r="M420" s="432" t="s">
        <v>577</v>
      </c>
      <c r="N420" s="432">
        <v>65</v>
      </c>
      <c r="O420" s="431" t="s">
        <v>168</v>
      </c>
      <c r="P420" s="431" t="s">
        <v>168</v>
      </c>
      <c r="Q420" s="430">
        <f>C420*((100-Discounts!$B$24)/100)</f>
        <v>11.969999999999999</v>
      </c>
      <c r="R420" t="str">
        <f>IF(ISNUMBER(Table3[[#This Row],[Thickness]]), "Zenith", "")</f>
        <v>Zenith</v>
      </c>
      <c r="S420">
        <v>10</v>
      </c>
      <c r="T420">
        <v>400</v>
      </c>
    </row>
    <row r="421" spans="1:20" x14ac:dyDescent="0.85">
      <c r="A421" s="433" t="s">
        <v>408</v>
      </c>
      <c r="B421" s="429" t="s">
        <v>218</v>
      </c>
      <c r="C421" s="434">
        <v>51.25</v>
      </c>
      <c r="D421" s="434"/>
      <c r="E421" s="430" t="s">
        <v>757</v>
      </c>
      <c r="F421" s="435">
        <v>2</v>
      </c>
      <c r="G421" s="435">
        <v>1400</v>
      </c>
      <c r="H421" s="435">
        <v>10000</v>
      </c>
      <c r="I421" s="431" t="s">
        <v>777</v>
      </c>
      <c r="J421" s="432" t="s">
        <v>215</v>
      </c>
      <c r="K421" s="432">
        <v>-30</v>
      </c>
      <c r="L421" s="432">
        <v>100</v>
      </c>
      <c r="M421" s="432" t="s">
        <v>577</v>
      </c>
      <c r="N421" s="432">
        <v>65</v>
      </c>
      <c r="O421" s="435" t="s">
        <v>168</v>
      </c>
      <c r="P421" s="435" t="s">
        <v>168</v>
      </c>
      <c r="Q421" s="434">
        <f>C421*((100-Discounts!$B$24)/100)</f>
        <v>21.524999999999999</v>
      </c>
      <c r="R421" t="str">
        <f>IF(ISNUMBER(Table3[[#This Row],[Thickness]]), "Zenith", "")</f>
        <v>Zenith</v>
      </c>
      <c r="S421">
        <v>10</v>
      </c>
      <c r="T421">
        <v>400</v>
      </c>
    </row>
    <row r="422" spans="1:20" x14ac:dyDescent="0.85">
      <c r="A422" s="429" t="s">
        <v>409</v>
      </c>
      <c r="B422" s="429" t="s">
        <v>218</v>
      </c>
      <c r="C422" s="430">
        <v>73.25</v>
      </c>
      <c r="D422" s="430"/>
      <c r="E422" s="430" t="s">
        <v>757</v>
      </c>
      <c r="F422" s="431">
        <v>3</v>
      </c>
      <c r="G422" s="431">
        <v>1400</v>
      </c>
      <c r="H422" s="431">
        <v>10000</v>
      </c>
      <c r="I422" s="431" t="s">
        <v>777</v>
      </c>
      <c r="J422" s="432" t="s">
        <v>215</v>
      </c>
      <c r="K422" s="432">
        <v>-30</v>
      </c>
      <c r="L422" s="432">
        <v>100</v>
      </c>
      <c r="M422" s="432" t="s">
        <v>577</v>
      </c>
      <c r="N422" s="432">
        <v>65</v>
      </c>
      <c r="O422" s="431" t="s">
        <v>168</v>
      </c>
      <c r="P422" s="431" t="s">
        <v>168</v>
      </c>
      <c r="Q422" s="430">
        <f>C422*((100-Discounts!$B$24)/100)</f>
        <v>30.765000000000001</v>
      </c>
      <c r="R422" t="str">
        <f>IF(ISNUMBER(Table3[[#This Row],[Thickness]]), "Zenith", "")</f>
        <v>Zenith</v>
      </c>
      <c r="S422">
        <v>10</v>
      </c>
      <c r="T422">
        <v>400</v>
      </c>
    </row>
    <row r="423" spans="1:20" x14ac:dyDescent="0.85">
      <c r="A423" s="433" t="s">
        <v>410</v>
      </c>
      <c r="B423" s="429" t="s">
        <v>218</v>
      </c>
      <c r="C423" s="434">
        <v>97.75</v>
      </c>
      <c r="D423" s="434"/>
      <c r="E423" s="430" t="s">
        <v>757</v>
      </c>
      <c r="F423" s="435">
        <v>4</v>
      </c>
      <c r="G423" s="435">
        <v>1400</v>
      </c>
      <c r="H423" s="435">
        <v>10000</v>
      </c>
      <c r="I423" s="431" t="s">
        <v>777</v>
      </c>
      <c r="J423" s="432" t="s">
        <v>215</v>
      </c>
      <c r="K423" s="432">
        <v>-30</v>
      </c>
      <c r="L423" s="432">
        <v>100</v>
      </c>
      <c r="M423" s="432" t="s">
        <v>577</v>
      </c>
      <c r="N423" s="432">
        <v>65</v>
      </c>
      <c r="O423" s="435" t="s">
        <v>168</v>
      </c>
      <c r="P423" s="435" t="s">
        <v>168</v>
      </c>
      <c r="Q423" s="434">
        <f>C423*((100-Discounts!$B$24)/100)</f>
        <v>41.055</v>
      </c>
      <c r="R423" t="str">
        <f>IF(ISNUMBER(Table3[[#This Row],[Thickness]]), "Zenith", "")</f>
        <v>Zenith</v>
      </c>
      <c r="S423">
        <v>10</v>
      </c>
      <c r="T423">
        <v>400</v>
      </c>
    </row>
    <row r="424" spans="1:20" x14ac:dyDescent="0.85">
      <c r="A424" s="429" t="s">
        <v>411</v>
      </c>
      <c r="B424" s="429" t="s">
        <v>218</v>
      </c>
      <c r="C424" s="430">
        <v>120</v>
      </c>
      <c r="D424" s="430"/>
      <c r="E424" s="430" t="s">
        <v>757</v>
      </c>
      <c r="F424" s="431">
        <v>5</v>
      </c>
      <c r="G424" s="431">
        <v>1400</v>
      </c>
      <c r="H424" s="431">
        <v>10000</v>
      </c>
      <c r="I424" s="431" t="s">
        <v>777</v>
      </c>
      <c r="J424" s="432" t="s">
        <v>215</v>
      </c>
      <c r="K424" s="432">
        <v>-30</v>
      </c>
      <c r="L424" s="432">
        <v>100</v>
      </c>
      <c r="M424" s="432" t="s">
        <v>577</v>
      </c>
      <c r="N424" s="432">
        <v>65</v>
      </c>
      <c r="O424" s="431" t="s">
        <v>168</v>
      </c>
      <c r="P424" s="431" t="s">
        <v>168</v>
      </c>
      <c r="Q424" s="430">
        <f>C424*((100-Discounts!$B$24)/100)</f>
        <v>50.4</v>
      </c>
      <c r="R424" t="str">
        <f>IF(ISNUMBER(Table3[[#This Row],[Thickness]]), "Zenith", "")</f>
        <v>Zenith</v>
      </c>
      <c r="S424">
        <v>10</v>
      </c>
      <c r="T424">
        <v>400</v>
      </c>
    </row>
    <row r="425" spans="1:20" x14ac:dyDescent="0.85">
      <c r="A425" s="433" t="s">
        <v>412</v>
      </c>
      <c r="B425" s="429" t="s">
        <v>218</v>
      </c>
      <c r="C425" s="434">
        <v>144</v>
      </c>
      <c r="D425" s="434"/>
      <c r="E425" s="430" t="s">
        <v>757</v>
      </c>
      <c r="F425" s="435">
        <v>6</v>
      </c>
      <c r="G425" s="435">
        <v>1400</v>
      </c>
      <c r="H425" s="435">
        <v>10000</v>
      </c>
      <c r="I425" s="431" t="s">
        <v>777</v>
      </c>
      <c r="J425" s="432" t="s">
        <v>215</v>
      </c>
      <c r="K425" s="432">
        <v>-30</v>
      </c>
      <c r="L425" s="432">
        <v>100</v>
      </c>
      <c r="M425" s="432" t="s">
        <v>577</v>
      </c>
      <c r="N425" s="432">
        <v>65</v>
      </c>
      <c r="O425" s="435" t="s">
        <v>168</v>
      </c>
      <c r="P425" s="435" t="s">
        <v>168</v>
      </c>
      <c r="Q425" s="434">
        <f>C425*((100-Discounts!$B$24)/100)</f>
        <v>60.48</v>
      </c>
      <c r="R425" t="str">
        <f>IF(ISNUMBER(Table3[[#This Row],[Thickness]]), "Zenith", "")</f>
        <v>Zenith</v>
      </c>
      <c r="S425">
        <v>10</v>
      </c>
      <c r="T425">
        <v>400</v>
      </c>
    </row>
    <row r="426" spans="1:20" x14ac:dyDescent="0.85">
      <c r="A426" s="429" t="s">
        <v>131</v>
      </c>
      <c r="B426" s="429" t="s">
        <v>218</v>
      </c>
      <c r="C426" s="430">
        <v>189</v>
      </c>
      <c r="D426" s="430"/>
      <c r="E426" s="430" t="s">
        <v>757</v>
      </c>
      <c r="F426" s="431">
        <v>8</v>
      </c>
      <c r="G426" s="431">
        <v>1400</v>
      </c>
      <c r="H426" s="431">
        <v>5000</v>
      </c>
      <c r="I426" s="431" t="s">
        <v>777</v>
      </c>
      <c r="J426" s="432" t="s">
        <v>215</v>
      </c>
      <c r="K426" s="432">
        <v>-30</v>
      </c>
      <c r="L426" s="432">
        <v>100</v>
      </c>
      <c r="M426" s="432" t="s">
        <v>577</v>
      </c>
      <c r="N426" s="432">
        <v>65</v>
      </c>
      <c r="O426" s="431" t="s">
        <v>168</v>
      </c>
      <c r="P426" s="431" t="s">
        <v>168</v>
      </c>
      <c r="Q426" s="430">
        <f>C426*((100-Discounts!$B$24)/100)</f>
        <v>79.38</v>
      </c>
      <c r="R426" t="str">
        <f>IF(ISNUMBER(Table3[[#This Row],[Thickness]]), "Zenith", "")</f>
        <v>Zenith</v>
      </c>
      <c r="S426">
        <v>10</v>
      </c>
      <c r="T426">
        <v>400</v>
      </c>
    </row>
    <row r="427" spans="1:20" x14ac:dyDescent="0.85">
      <c r="A427" s="433" t="s">
        <v>131</v>
      </c>
      <c r="B427" s="429" t="s">
        <v>218</v>
      </c>
      <c r="C427" s="434">
        <v>189</v>
      </c>
      <c r="D427" s="434"/>
      <c r="E427" s="430" t="s">
        <v>757</v>
      </c>
      <c r="F427" s="435">
        <v>8</v>
      </c>
      <c r="G427" s="435">
        <v>1400</v>
      </c>
      <c r="H427" s="435">
        <v>10000</v>
      </c>
      <c r="I427" s="431" t="s">
        <v>777</v>
      </c>
      <c r="J427" s="432" t="s">
        <v>215</v>
      </c>
      <c r="K427" s="432">
        <v>-30</v>
      </c>
      <c r="L427" s="432">
        <v>100</v>
      </c>
      <c r="M427" s="432" t="s">
        <v>577</v>
      </c>
      <c r="N427" s="432">
        <v>65</v>
      </c>
      <c r="O427" s="435" t="s">
        <v>168</v>
      </c>
      <c r="P427" s="435" t="s">
        <v>168</v>
      </c>
      <c r="Q427" s="434">
        <f>C427*((100-Discounts!$B$24)/100)</f>
        <v>79.38</v>
      </c>
      <c r="R427" t="str">
        <f>IF(ISNUMBER(Table3[[#This Row],[Thickness]]), "Zenith", "")</f>
        <v>Zenith</v>
      </c>
      <c r="S427">
        <v>10</v>
      </c>
      <c r="T427">
        <v>400</v>
      </c>
    </row>
    <row r="428" spans="1:20" x14ac:dyDescent="0.85">
      <c r="A428" s="429" t="s">
        <v>132</v>
      </c>
      <c r="B428" s="429" t="s">
        <v>218</v>
      </c>
      <c r="C428" s="430">
        <v>232.25</v>
      </c>
      <c r="D428" s="430"/>
      <c r="E428" s="430" t="s">
        <v>757</v>
      </c>
      <c r="F428" s="431">
        <v>10</v>
      </c>
      <c r="G428" s="431">
        <v>1400</v>
      </c>
      <c r="H428" s="431">
        <v>5000</v>
      </c>
      <c r="I428" s="431" t="s">
        <v>777</v>
      </c>
      <c r="J428" s="432" t="s">
        <v>215</v>
      </c>
      <c r="K428" s="432">
        <v>-30</v>
      </c>
      <c r="L428" s="432">
        <v>100</v>
      </c>
      <c r="M428" s="432" t="s">
        <v>577</v>
      </c>
      <c r="N428" s="432">
        <v>65</v>
      </c>
      <c r="O428" s="431" t="s">
        <v>168</v>
      </c>
      <c r="P428" s="431" t="s">
        <v>168</v>
      </c>
      <c r="Q428" s="430">
        <f>C428*((100-Discounts!$B$24)/100)</f>
        <v>97.545000000000002</v>
      </c>
      <c r="R428" t="str">
        <f>IF(ISNUMBER(Table3[[#This Row],[Thickness]]), "Zenith", "")</f>
        <v>Zenith</v>
      </c>
      <c r="S428">
        <v>10</v>
      </c>
      <c r="T428">
        <v>400</v>
      </c>
    </row>
    <row r="429" spans="1:20" x14ac:dyDescent="0.85">
      <c r="A429" s="433" t="s">
        <v>132</v>
      </c>
      <c r="B429" s="429" t="s">
        <v>218</v>
      </c>
      <c r="C429" s="434">
        <v>232.25</v>
      </c>
      <c r="D429" s="434"/>
      <c r="E429" s="430" t="s">
        <v>757</v>
      </c>
      <c r="F429" s="435">
        <v>10</v>
      </c>
      <c r="G429" s="435">
        <v>1400</v>
      </c>
      <c r="H429" s="435">
        <v>10000</v>
      </c>
      <c r="I429" s="431" t="s">
        <v>777</v>
      </c>
      <c r="J429" s="432" t="s">
        <v>215</v>
      </c>
      <c r="K429" s="432">
        <v>-30</v>
      </c>
      <c r="L429" s="432">
        <v>100</v>
      </c>
      <c r="M429" s="432" t="s">
        <v>577</v>
      </c>
      <c r="N429" s="432">
        <v>65</v>
      </c>
      <c r="O429" s="435" t="s">
        <v>168</v>
      </c>
      <c r="P429" s="435" t="s">
        <v>168</v>
      </c>
      <c r="Q429" s="434">
        <f>C429*((100-Discounts!$B$24)/100)</f>
        <v>97.545000000000002</v>
      </c>
      <c r="R429" t="str">
        <f>IF(ISNUMBER(Table3[[#This Row],[Thickness]]), "Zenith", "")</f>
        <v>Zenith</v>
      </c>
      <c r="S429">
        <v>10</v>
      </c>
      <c r="T429">
        <v>400</v>
      </c>
    </row>
    <row r="430" spans="1:20" ht="27" thickBot="1" x14ac:dyDescent="0.9">
      <c r="A430" s="373"/>
      <c r="B430" s="374"/>
      <c r="C430" s="375"/>
      <c r="D430" s="375"/>
      <c r="E430" s="375"/>
      <c r="F430" s="376" t="s">
        <v>219</v>
      </c>
      <c r="G430" s="376">
        <v>0</v>
      </c>
      <c r="H430" s="329">
        <v>0</v>
      </c>
      <c r="I430" s="217" t="s">
        <v>777</v>
      </c>
      <c r="J430" t="s">
        <v>215</v>
      </c>
      <c r="M430" s="348"/>
      <c r="N430" s="343"/>
      <c r="O430" s="329"/>
      <c r="P430" s="329"/>
      <c r="Q430" s="377" t="s">
        <v>323</v>
      </c>
      <c r="R430" t="str">
        <f>IF(ISNUMBER(Table3[[#This Row],[Thickness]]), "Zenith", "")</f>
        <v/>
      </c>
    </row>
    <row r="431" spans="1:20" ht="54" thickTop="1" thickBot="1" x14ac:dyDescent="0.9">
      <c r="A431" s="126" t="s">
        <v>322</v>
      </c>
      <c r="B431" s="301"/>
      <c r="C431" s="256" t="s">
        <v>179</v>
      </c>
      <c r="D431" s="314"/>
      <c r="E431" s="314"/>
      <c r="F431" s="254" t="s">
        <v>320</v>
      </c>
      <c r="G431" s="254" t="e">
        <v>#VALUE!</v>
      </c>
      <c r="H431" s="255" t="e">
        <v>#VALUE!</v>
      </c>
      <c r="I431" s="217" t="s">
        <v>777</v>
      </c>
      <c r="J431" t="s">
        <v>215</v>
      </c>
      <c r="M431" s="234"/>
      <c r="N431" s="230"/>
      <c r="O431" s="255" t="s">
        <v>171</v>
      </c>
      <c r="P431" s="255" t="s">
        <v>325</v>
      </c>
      <c r="Q431" s="255" t="s">
        <v>199</v>
      </c>
      <c r="R431" t="str">
        <f>IF(ISNUMBER(Table3[[#This Row],[Thickness]]), "Zenith", "")</f>
        <v/>
      </c>
    </row>
    <row r="432" spans="1:20" ht="27" thickTop="1" x14ac:dyDescent="0.85">
      <c r="A432" s="429" t="s">
        <v>318</v>
      </c>
      <c r="B432" s="429" t="s">
        <v>219</v>
      </c>
      <c r="C432" s="430">
        <v>11.5</v>
      </c>
      <c r="D432" s="430"/>
      <c r="E432" s="430" t="s">
        <v>757</v>
      </c>
      <c r="F432" s="431">
        <v>1</v>
      </c>
      <c r="G432" s="431">
        <v>1400</v>
      </c>
      <c r="H432" s="431">
        <v>10000</v>
      </c>
      <c r="I432" s="431" t="s">
        <v>777</v>
      </c>
      <c r="J432" s="432" t="s">
        <v>215</v>
      </c>
      <c r="K432" s="432">
        <v>-30</v>
      </c>
      <c r="L432" s="432">
        <v>90</v>
      </c>
      <c r="M432" s="432" t="s">
        <v>577</v>
      </c>
      <c r="N432" s="432">
        <v>50</v>
      </c>
      <c r="O432" s="431" t="s">
        <v>168</v>
      </c>
      <c r="P432" s="431" t="s">
        <v>168</v>
      </c>
      <c r="Q432" s="430">
        <f>C432*((100-Discounts!$B$25)/100)</f>
        <v>4.83</v>
      </c>
      <c r="R432" t="str">
        <f>IF(ISNUMBER(Table3[[#This Row],[Thickness]]), "Zenith", "")</f>
        <v>Zenith</v>
      </c>
      <c r="S432">
        <v>4</v>
      </c>
      <c r="T432">
        <v>200</v>
      </c>
    </row>
    <row r="433" spans="1:20" x14ac:dyDescent="0.85">
      <c r="A433" s="433" t="s">
        <v>95</v>
      </c>
      <c r="B433" s="429" t="s">
        <v>219</v>
      </c>
      <c r="C433" s="434">
        <v>19.5</v>
      </c>
      <c r="D433" s="434"/>
      <c r="E433" s="430" t="s">
        <v>757</v>
      </c>
      <c r="F433" s="435">
        <v>2</v>
      </c>
      <c r="G433" s="435">
        <v>1400</v>
      </c>
      <c r="H433" s="435">
        <v>10000</v>
      </c>
      <c r="I433" s="431" t="s">
        <v>777</v>
      </c>
      <c r="J433" s="432" t="s">
        <v>215</v>
      </c>
      <c r="K433" s="432">
        <v>-30</v>
      </c>
      <c r="L433" s="432">
        <v>90</v>
      </c>
      <c r="M433" s="432" t="s">
        <v>577</v>
      </c>
      <c r="N433" s="432">
        <v>50</v>
      </c>
      <c r="O433" s="435" t="s">
        <v>168</v>
      </c>
      <c r="P433" s="435" t="s">
        <v>168</v>
      </c>
      <c r="Q433" s="434">
        <f>C433*((100-Discounts!$B$25)/100)</f>
        <v>8.19</v>
      </c>
      <c r="R433" t="str">
        <f>IF(ISNUMBER(Table3[[#This Row],[Thickness]]), "Zenith", "")</f>
        <v>Zenith</v>
      </c>
      <c r="S433">
        <v>4</v>
      </c>
      <c r="T433">
        <v>200</v>
      </c>
    </row>
    <row r="434" spans="1:20" x14ac:dyDescent="0.85">
      <c r="A434" s="429" t="s">
        <v>413</v>
      </c>
      <c r="B434" s="429" t="s">
        <v>219</v>
      </c>
      <c r="C434" s="430">
        <v>24.753000000000004</v>
      </c>
      <c r="D434" s="430"/>
      <c r="E434" s="430" t="s">
        <v>757</v>
      </c>
      <c r="F434" s="431">
        <v>2.5</v>
      </c>
      <c r="G434" s="431">
        <v>1400</v>
      </c>
      <c r="H434" s="431">
        <v>10000</v>
      </c>
      <c r="I434" s="431" t="s">
        <v>777</v>
      </c>
      <c r="J434" s="432" t="s">
        <v>215</v>
      </c>
      <c r="K434" s="432">
        <v>-30</v>
      </c>
      <c r="L434" s="432">
        <v>90</v>
      </c>
      <c r="M434" s="432" t="s">
        <v>577</v>
      </c>
      <c r="N434" s="432">
        <v>50</v>
      </c>
      <c r="O434" s="431" t="s">
        <v>168</v>
      </c>
      <c r="P434" s="431" t="s">
        <v>168</v>
      </c>
      <c r="Q434" s="430">
        <f>C434*((100-Discounts!$B$25)/100)</f>
        <v>10.396260000000002</v>
      </c>
      <c r="R434" t="str">
        <f>IF(ISNUMBER(Table3[[#This Row],[Thickness]]), "Zenith", "")</f>
        <v>Zenith</v>
      </c>
      <c r="S434">
        <v>4</v>
      </c>
      <c r="T434">
        <v>200</v>
      </c>
    </row>
    <row r="435" spans="1:20" x14ac:dyDescent="0.85">
      <c r="A435" s="433" t="s">
        <v>96</v>
      </c>
      <c r="B435" s="429" t="s">
        <v>219</v>
      </c>
      <c r="C435" s="434">
        <v>27.5</v>
      </c>
      <c r="D435" s="434"/>
      <c r="E435" s="430" t="s">
        <v>757</v>
      </c>
      <c r="F435" s="435">
        <v>3</v>
      </c>
      <c r="G435" s="435">
        <v>1400</v>
      </c>
      <c r="H435" s="435">
        <v>10000</v>
      </c>
      <c r="I435" s="431" t="s">
        <v>777</v>
      </c>
      <c r="J435" s="432" t="s">
        <v>215</v>
      </c>
      <c r="K435" s="432">
        <v>-30</v>
      </c>
      <c r="L435" s="432">
        <v>90</v>
      </c>
      <c r="M435" s="432" t="s">
        <v>577</v>
      </c>
      <c r="N435" s="432">
        <v>50</v>
      </c>
      <c r="O435" s="435" t="s">
        <v>168</v>
      </c>
      <c r="P435" s="435" t="s">
        <v>168</v>
      </c>
      <c r="Q435" s="434">
        <f>C435*((100-Discounts!$B$25)/100)</f>
        <v>11.549999999999999</v>
      </c>
      <c r="R435" t="str">
        <f>IF(ISNUMBER(Table3[[#This Row],[Thickness]]), "Zenith", "")</f>
        <v>Zenith</v>
      </c>
      <c r="S435">
        <v>4</v>
      </c>
      <c r="T435">
        <v>200</v>
      </c>
    </row>
    <row r="436" spans="1:20" x14ac:dyDescent="0.85">
      <c r="A436" s="429" t="s">
        <v>97</v>
      </c>
      <c r="B436" s="429" t="s">
        <v>219</v>
      </c>
      <c r="C436" s="430">
        <v>36.75</v>
      </c>
      <c r="D436" s="430"/>
      <c r="E436" s="430" t="s">
        <v>757</v>
      </c>
      <c r="F436" s="431">
        <v>4</v>
      </c>
      <c r="G436" s="431">
        <v>1400</v>
      </c>
      <c r="H436" s="431">
        <v>10000</v>
      </c>
      <c r="I436" s="431" t="s">
        <v>777</v>
      </c>
      <c r="J436" s="432" t="s">
        <v>215</v>
      </c>
      <c r="K436" s="432">
        <v>-30</v>
      </c>
      <c r="L436" s="432">
        <v>90</v>
      </c>
      <c r="M436" s="432" t="s">
        <v>577</v>
      </c>
      <c r="N436" s="432">
        <v>50</v>
      </c>
      <c r="O436" s="431" t="s">
        <v>168</v>
      </c>
      <c r="P436" s="431" t="s">
        <v>168</v>
      </c>
      <c r="Q436" s="430">
        <f>C436*((100-Discounts!$B$25)/100)</f>
        <v>15.434999999999999</v>
      </c>
      <c r="R436" t="str">
        <f>IF(ISNUMBER(Table3[[#This Row],[Thickness]]), "Zenith", "")</f>
        <v>Zenith</v>
      </c>
      <c r="S436">
        <v>4</v>
      </c>
      <c r="T436">
        <v>200</v>
      </c>
    </row>
    <row r="437" spans="1:20" x14ac:dyDescent="0.85">
      <c r="A437" s="433" t="s">
        <v>98</v>
      </c>
      <c r="B437" s="429" t="s">
        <v>219</v>
      </c>
      <c r="C437" s="434">
        <v>44.75</v>
      </c>
      <c r="D437" s="434"/>
      <c r="E437" s="430" t="s">
        <v>757</v>
      </c>
      <c r="F437" s="435">
        <v>5</v>
      </c>
      <c r="G437" s="435">
        <v>1400</v>
      </c>
      <c r="H437" s="435">
        <v>10000</v>
      </c>
      <c r="I437" s="431" t="s">
        <v>777</v>
      </c>
      <c r="J437" s="432" t="s">
        <v>215</v>
      </c>
      <c r="K437" s="432">
        <v>-30</v>
      </c>
      <c r="L437" s="432">
        <v>90</v>
      </c>
      <c r="M437" s="432" t="s">
        <v>577</v>
      </c>
      <c r="N437" s="432">
        <v>50</v>
      </c>
      <c r="O437" s="435" t="s">
        <v>168</v>
      </c>
      <c r="P437" s="435" t="s">
        <v>168</v>
      </c>
      <c r="Q437" s="434">
        <f>C437*((100-Discounts!$B$25)/100)</f>
        <v>18.794999999999998</v>
      </c>
      <c r="R437" t="str">
        <f>IF(ISNUMBER(Table3[[#This Row],[Thickness]]), "Zenith", "")</f>
        <v>Zenith</v>
      </c>
      <c r="S437">
        <v>4</v>
      </c>
      <c r="T437">
        <v>200</v>
      </c>
    </row>
    <row r="438" spans="1:20" x14ac:dyDescent="0.85">
      <c r="A438" s="429" t="s">
        <v>99</v>
      </c>
      <c r="B438" s="429" t="s">
        <v>219</v>
      </c>
      <c r="C438" s="430">
        <v>52.75</v>
      </c>
      <c r="D438" s="430"/>
      <c r="E438" s="430" t="s">
        <v>757</v>
      </c>
      <c r="F438" s="431">
        <v>6</v>
      </c>
      <c r="G438" s="431">
        <v>1400</v>
      </c>
      <c r="H438" s="431">
        <v>10000</v>
      </c>
      <c r="I438" s="431" t="s">
        <v>777</v>
      </c>
      <c r="J438" s="432" t="s">
        <v>215</v>
      </c>
      <c r="K438" s="432">
        <v>-30</v>
      </c>
      <c r="L438" s="432">
        <v>90</v>
      </c>
      <c r="M438" s="432" t="s">
        <v>577</v>
      </c>
      <c r="N438" s="432">
        <v>50</v>
      </c>
      <c r="O438" s="431" t="s">
        <v>168</v>
      </c>
      <c r="P438" s="431" t="s">
        <v>168</v>
      </c>
      <c r="Q438" s="430">
        <f>C438*((100-Discounts!$B$25)/100)</f>
        <v>22.154999999999998</v>
      </c>
      <c r="R438" t="str">
        <f>IF(ISNUMBER(Table3[[#This Row],[Thickness]]), "Zenith", "")</f>
        <v>Zenith</v>
      </c>
      <c r="S438">
        <v>4</v>
      </c>
      <c r="T438">
        <v>200</v>
      </c>
    </row>
    <row r="439" spans="1:20" x14ac:dyDescent="0.85">
      <c r="A439" s="433" t="s">
        <v>100</v>
      </c>
      <c r="B439" s="429" t="s">
        <v>219</v>
      </c>
      <c r="C439" s="434">
        <v>69.25</v>
      </c>
      <c r="D439" s="434"/>
      <c r="E439" s="430" t="s">
        <v>757</v>
      </c>
      <c r="F439" s="435">
        <v>8</v>
      </c>
      <c r="G439" s="435">
        <v>1400</v>
      </c>
      <c r="H439" s="435">
        <v>5000</v>
      </c>
      <c r="I439" s="431" t="s">
        <v>777</v>
      </c>
      <c r="J439" s="432" t="s">
        <v>215</v>
      </c>
      <c r="K439" s="432">
        <v>-30</v>
      </c>
      <c r="L439" s="432">
        <v>90</v>
      </c>
      <c r="M439" s="432" t="s">
        <v>577</v>
      </c>
      <c r="N439" s="432">
        <v>50</v>
      </c>
      <c r="O439" s="435" t="s">
        <v>168</v>
      </c>
      <c r="P439" s="435" t="s">
        <v>168</v>
      </c>
      <c r="Q439" s="434">
        <f>C439*((100-Discounts!$B$25)/100)</f>
        <v>29.084999999999997</v>
      </c>
      <c r="R439" t="str">
        <f>IF(ISNUMBER(Table3[[#This Row],[Thickness]]), "Zenith", "")</f>
        <v>Zenith</v>
      </c>
      <c r="S439">
        <v>4</v>
      </c>
      <c r="T439">
        <v>200</v>
      </c>
    </row>
    <row r="440" spans="1:20" x14ac:dyDescent="0.85">
      <c r="A440" s="429" t="s">
        <v>101</v>
      </c>
      <c r="B440" s="429" t="s">
        <v>219</v>
      </c>
      <c r="C440" s="430">
        <v>85.25</v>
      </c>
      <c r="D440" s="430"/>
      <c r="E440" s="430" t="s">
        <v>757</v>
      </c>
      <c r="F440" s="431">
        <v>10</v>
      </c>
      <c r="G440" s="431">
        <v>1400</v>
      </c>
      <c r="H440" s="431">
        <v>5000</v>
      </c>
      <c r="I440" s="431" t="s">
        <v>777</v>
      </c>
      <c r="J440" s="432" t="s">
        <v>215</v>
      </c>
      <c r="K440" s="432">
        <v>-30</v>
      </c>
      <c r="L440" s="432">
        <v>90</v>
      </c>
      <c r="M440" s="432" t="s">
        <v>577</v>
      </c>
      <c r="N440" s="432">
        <v>50</v>
      </c>
      <c r="O440" s="431" t="s">
        <v>168</v>
      </c>
      <c r="P440" s="431" t="s">
        <v>168</v>
      </c>
      <c r="Q440" s="430">
        <f>C440*((100-Discounts!$B$25)/100)</f>
        <v>35.805</v>
      </c>
      <c r="R440" t="str">
        <f>IF(ISNUMBER(Table3[[#This Row],[Thickness]]), "Zenith", "")</f>
        <v>Zenith</v>
      </c>
      <c r="S440">
        <v>4</v>
      </c>
      <c r="T440">
        <v>200</v>
      </c>
    </row>
    <row r="441" spans="1:20" x14ac:dyDescent="0.85">
      <c r="A441" s="433" t="s">
        <v>414</v>
      </c>
      <c r="B441" s="429" t="s">
        <v>219</v>
      </c>
      <c r="C441" s="434">
        <v>101.25</v>
      </c>
      <c r="D441" s="434"/>
      <c r="E441" s="430" t="s">
        <v>757</v>
      </c>
      <c r="F441" s="435">
        <v>12</v>
      </c>
      <c r="G441" s="435">
        <v>1400</v>
      </c>
      <c r="H441" s="435">
        <v>5000</v>
      </c>
      <c r="I441" s="431" t="s">
        <v>777</v>
      </c>
      <c r="J441" s="432" t="s">
        <v>215</v>
      </c>
      <c r="K441" s="432">
        <v>-30</v>
      </c>
      <c r="L441" s="432">
        <v>90</v>
      </c>
      <c r="M441" s="432" t="s">
        <v>577</v>
      </c>
      <c r="N441" s="432">
        <v>50</v>
      </c>
      <c r="O441" s="435" t="s">
        <v>168</v>
      </c>
      <c r="P441" s="435" t="s">
        <v>168</v>
      </c>
      <c r="Q441" s="434">
        <f>C441*((100-Discounts!$B$25)/100)</f>
        <v>42.524999999999999</v>
      </c>
      <c r="R441" t="str">
        <f>IF(ISNUMBER(Table3[[#This Row],[Thickness]]), "Zenith", "")</f>
        <v>Zenith</v>
      </c>
      <c r="S441">
        <v>4</v>
      </c>
      <c r="T441">
        <v>200</v>
      </c>
    </row>
    <row r="442" spans="1:20" x14ac:dyDescent="0.85">
      <c r="A442" s="429" t="s">
        <v>415</v>
      </c>
      <c r="B442" s="429" t="s">
        <v>219</v>
      </c>
      <c r="C442" s="430">
        <v>161.55000000000001</v>
      </c>
      <c r="D442" s="430"/>
      <c r="E442" s="430" t="s">
        <v>757</v>
      </c>
      <c r="F442" s="431">
        <v>20</v>
      </c>
      <c r="G442" s="431">
        <v>1400</v>
      </c>
      <c r="H442" s="431">
        <v>5000</v>
      </c>
      <c r="I442" s="431" t="s">
        <v>777</v>
      </c>
      <c r="J442" s="432" t="s">
        <v>215</v>
      </c>
      <c r="K442" s="432">
        <v>-30</v>
      </c>
      <c r="L442" s="432">
        <v>90</v>
      </c>
      <c r="M442" s="432" t="s">
        <v>577</v>
      </c>
      <c r="N442" s="432">
        <v>50</v>
      </c>
      <c r="O442" s="431" t="s">
        <v>168</v>
      </c>
      <c r="P442" s="431" t="s">
        <v>168</v>
      </c>
      <c r="Q442" s="430">
        <f>C442*((100-Discounts!$B$25)/100)</f>
        <v>67.850999999999999</v>
      </c>
      <c r="R442" t="str">
        <f>IF(ISNUMBER(Table3[[#This Row],[Thickness]]), "Zenith", "")</f>
        <v>Zenith</v>
      </c>
      <c r="S442">
        <v>4</v>
      </c>
      <c r="T442">
        <v>200</v>
      </c>
    </row>
    <row r="443" spans="1:20" ht="27" thickBot="1" x14ac:dyDescent="0.9">
      <c r="A443" s="218"/>
      <c r="B443" s="218"/>
      <c r="C443" s="378"/>
      <c r="D443" s="378"/>
      <c r="E443" s="378"/>
      <c r="F443" s="379" t="s">
        <v>418</v>
      </c>
      <c r="G443" s="379">
        <v>0</v>
      </c>
      <c r="H443" s="330">
        <v>0</v>
      </c>
      <c r="I443" s="217" t="s">
        <v>777</v>
      </c>
      <c r="M443" s="353"/>
      <c r="N443" s="349"/>
      <c r="O443" s="353"/>
      <c r="P443" s="353"/>
      <c r="Q443" s="380"/>
      <c r="R443" t="str">
        <f>IF(ISNUMBER(Table3[[#This Row],[Thickness]]), "Zenith", "")</f>
        <v/>
      </c>
    </row>
    <row r="444" spans="1:20" ht="27.5" thickTop="1" thickBot="1" x14ac:dyDescent="0.9">
      <c r="A444" s="186"/>
      <c r="B444" s="302"/>
      <c r="C444" s="259"/>
      <c r="D444" s="259"/>
      <c r="E444" s="259"/>
      <c r="F444" s="257" t="s">
        <v>220</v>
      </c>
      <c r="G444" s="257">
        <v>0</v>
      </c>
      <c r="H444" s="258">
        <v>0</v>
      </c>
      <c r="I444" s="217" t="s">
        <v>777</v>
      </c>
      <c r="M444" s="231"/>
      <c r="N444" s="233"/>
      <c r="O444" s="232"/>
      <c r="P444" s="232"/>
      <c r="Q444" s="260" t="s">
        <v>323</v>
      </c>
      <c r="R444" t="str">
        <f>IF(ISNUMBER(Table3[[#This Row],[Thickness]]), "Zenith", "")</f>
        <v/>
      </c>
    </row>
    <row r="445" spans="1:20" ht="54" thickTop="1" thickBot="1" x14ac:dyDescent="0.9">
      <c r="A445" s="190" t="s">
        <v>322</v>
      </c>
      <c r="B445" s="303"/>
      <c r="C445" s="263" t="s">
        <v>179</v>
      </c>
      <c r="D445" s="315"/>
      <c r="E445" s="315"/>
      <c r="F445" s="261" t="s">
        <v>320</v>
      </c>
      <c r="G445" s="261" t="e">
        <v>#VALUE!</v>
      </c>
      <c r="H445" s="262" t="e">
        <v>#VALUE!</v>
      </c>
      <c r="I445" s="217" t="s">
        <v>777</v>
      </c>
      <c r="M445" s="234"/>
      <c r="N445" s="230"/>
      <c r="O445" s="262" t="s">
        <v>171</v>
      </c>
      <c r="P445" s="262" t="s">
        <v>325</v>
      </c>
      <c r="Q445" s="264" t="s">
        <v>199</v>
      </c>
      <c r="R445" t="str">
        <f>IF(ISNUMBER(Table3[[#This Row],[Thickness]]), "Zenith", "")</f>
        <v/>
      </c>
    </row>
    <row r="446" spans="1:20" ht="27" thickTop="1" x14ac:dyDescent="0.85">
      <c r="A446" s="437" t="s">
        <v>136</v>
      </c>
      <c r="B446" s="437" t="s">
        <v>220</v>
      </c>
      <c r="C446" s="430">
        <v>19.5</v>
      </c>
      <c r="D446" s="430"/>
      <c r="E446" s="430" t="s">
        <v>757</v>
      </c>
      <c r="F446" s="438">
        <v>1</v>
      </c>
      <c r="G446" s="438">
        <v>1400</v>
      </c>
      <c r="H446" s="438">
        <v>20000</v>
      </c>
      <c r="I446" s="431" t="s">
        <v>777</v>
      </c>
      <c r="J446" s="432" t="s">
        <v>786</v>
      </c>
      <c r="K446" s="432">
        <v>-25</v>
      </c>
      <c r="L446" s="432">
        <v>70</v>
      </c>
      <c r="M446" s="432" t="s">
        <v>648</v>
      </c>
      <c r="N446" s="432">
        <v>70</v>
      </c>
      <c r="O446" s="431" t="s">
        <v>168</v>
      </c>
      <c r="P446" s="431" t="s">
        <v>168</v>
      </c>
      <c r="Q446" s="430">
        <f>C446*((100-Discounts!$B$27)/100)</f>
        <v>6.8249999999999993</v>
      </c>
      <c r="R446" t="str">
        <f>IF(ISNUMBER(Table3[[#This Row],[Thickness]]), "Zenith", "")</f>
        <v>Zenith</v>
      </c>
      <c r="S446">
        <v>15</v>
      </c>
      <c r="T446">
        <v>600</v>
      </c>
    </row>
    <row r="447" spans="1:20" x14ac:dyDescent="0.85">
      <c r="A447" s="439" t="s">
        <v>137</v>
      </c>
      <c r="B447" s="437" t="s">
        <v>220</v>
      </c>
      <c r="C447" s="434">
        <v>28</v>
      </c>
      <c r="D447" s="434"/>
      <c r="E447" s="430" t="s">
        <v>757</v>
      </c>
      <c r="F447" s="440">
        <v>1.5</v>
      </c>
      <c r="G447" s="440">
        <v>1400</v>
      </c>
      <c r="H447" s="440">
        <v>15000</v>
      </c>
      <c r="I447" s="431" t="s">
        <v>777</v>
      </c>
      <c r="J447" s="432" t="s">
        <v>786</v>
      </c>
      <c r="K447" s="432">
        <v>-25</v>
      </c>
      <c r="L447" s="432">
        <v>70</v>
      </c>
      <c r="M447" s="432" t="s">
        <v>648</v>
      </c>
      <c r="N447" s="432">
        <v>70</v>
      </c>
      <c r="O447" s="431" t="s">
        <v>168</v>
      </c>
      <c r="P447" s="431" t="s">
        <v>168</v>
      </c>
      <c r="Q447" s="434">
        <f>C447*((100-Discounts!$B$27)/100)</f>
        <v>9.7999999999999989</v>
      </c>
      <c r="R447" t="str">
        <f>IF(ISNUMBER(Table3[[#This Row],[Thickness]]), "Zenith", "")</f>
        <v>Zenith</v>
      </c>
      <c r="S447">
        <v>15</v>
      </c>
      <c r="T447">
        <v>600</v>
      </c>
    </row>
    <row r="448" spans="1:20" x14ac:dyDescent="0.85">
      <c r="A448" s="437" t="s">
        <v>138</v>
      </c>
      <c r="B448" s="437" t="s">
        <v>220</v>
      </c>
      <c r="C448" s="430">
        <v>36.25</v>
      </c>
      <c r="D448" s="430"/>
      <c r="E448" s="430" t="s">
        <v>757</v>
      </c>
      <c r="F448" s="438">
        <v>2</v>
      </c>
      <c r="G448" s="438">
        <v>1400</v>
      </c>
      <c r="H448" s="438">
        <v>10000</v>
      </c>
      <c r="I448" s="431" t="s">
        <v>777</v>
      </c>
      <c r="J448" s="432" t="s">
        <v>786</v>
      </c>
      <c r="K448" s="432">
        <v>-25</v>
      </c>
      <c r="L448" s="432">
        <v>70</v>
      </c>
      <c r="M448" s="432" t="s">
        <v>648</v>
      </c>
      <c r="N448" s="432">
        <v>70</v>
      </c>
      <c r="O448" s="431" t="s">
        <v>168</v>
      </c>
      <c r="P448" s="431" t="s">
        <v>168</v>
      </c>
      <c r="Q448" s="430">
        <f>C448*((100-Discounts!$B$27)/100)</f>
        <v>12.6875</v>
      </c>
      <c r="R448" t="str">
        <f>IF(ISNUMBER(Table3[[#This Row],[Thickness]]), "Zenith", "")</f>
        <v>Zenith</v>
      </c>
      <c r="S448">
        <v>15</v>
      </c>
      <c r="T448">
        <v>600</v>
      </c>
    </row>
    <row r="449" spans="1:20" x14ac:dyDescent="0.85">
      <c r="A449" s="439" t="s">
        <v>139</v>
      </c>
      <c r="B449" s="437" t="s">
        <v>220</v>
      </c>
      <c r="C449" s="434">
        <v>53.75</v>
      </c>
      <c r="D449" s="434"/>
      <c r="E449" s="430" t="s">
        <v>757</v>
      </c>
      <c r="F449" s="440">
        <v>3</v>
      </c>
      <c r="G449" s="440">
        <v>1400</v>
      </c>
      <c r="H449" s="440">
        <v>10000</v>
      </c>
      <c r="I449" s="431" t="s">
        <v>777</v>
      </c>
      <c r="J449" s="432" t="s">
        <v>786</v>
      </c>
      <c r="K449" s="432">
        <v>-25</v>
      </c>
      <c r="L449" s="432">
        <v>70</v>
      </c>
      <c r="M449" s="432" t="s">
        <v>648</v>
      </c>
      <c r="N449" s="432">
        <v>70</v>
      </c>
      <c r="O449" s="431" t="s">
        <v>168</v>
      </c>
      <c r="P449" s="431" t="s">
        <v>168</v>
      </c>
      <c r="Q449" s="434">
        <f>C449*((100-Discounts!$B$27)/100)</f>
        <v>18.8125</v>
      </c>
      <c r="R449" t="str">
        <f>IF(ISNUMBER(Table3[[#This Row],[Thickness]]), "Zenith", "")</f>
        <v>Zenith</v>
      </c>
      <c r="S449">
        <v>15</v>
      </c>
      <c r="T449">
        <v>600</v>
      </c>
    </row>
    <row r="450" spans="1:20" x14ac:dyDescent="0.85">
      <c r="A450" s="437" t="s">
        <v>140</v>
      </c>
      <c r="B450" s="437" t="s">
        <v>220</v>
      </c>
      <c r="C450" s="430">
        <v>71.25</v>
      </c>
      <c r="D450" s="430"/>
      <c r="E450" s="430" t="s">
        <v>757</v>
      </c>
      <c r="F450" s="438">
        <v>4</v>
      </c>
      <c r="G450" s="438">
        <v>1400</v>
      </c>
      <c r="H450" s="438">
        <v>10000</v>
      </c>
      <c r="I450" s="431" t="s">
        <v>777</v>
      </c>
      <c r="J450" s="432" t="s">
        <v>786</v>
      </c>
      <c r="K450" s="432">
        <v>-25</v>
      </c>
      <c r="L450" s="432">
        <v>70</v>
      </c>
      <c r="M450" s="432" t="s">
        <v>648</v>
      </c>
      <c r="N450" s="432">
        <v>70</v>
      </c>
      <c r="O450" s="431" t="s">
        <v>168</v>
      </c>
      <c r="P450" s="431" t="s">
        <v>168</v>
      </c>
      <c r="Q450" s="430">
        <f>C450*((100-Discounts!$B$27)/100)</f>
        <v>24.9375</v>
      </c>
      <c r="R450" t="str">
        <f>IF(ISNUMBER(Table3[[#This Row],[Thickness]]), "Zenith", "")</f>
        <v>Zenith</v>
      </c>
      <c r="S450">
        <v>15</v>
      </c>
      <c r="T450">
        <v>600</v>
      </c>
    </row>
    <row r="451" spans="1:20" x14ac:dyDescent="0.85">
      <c r="A451" s="439" t="s">
        <v>141</v>
      </c>
      <c r="B451" s="437" t="s">
        <v>220</v>
      </c>
      <c r="C451" s="434">
        <v>89.25</v>
      </c>
      <c r="D451" s="434"/>
      <c r="E451" s="430" t="s">
        <v>757</v>
      </c>
      <c r="F451" s="440">
        <v>5</v>
      </c>
      <c r="G451" s="440">
        <v>1400</v>
      </c>
      <c r="H451" s="440">
        <v>10000</v>
      </c>
      <c r="I451" s="431" t="s">
        <v>777</v>
      </c>
      <c r="J451" s="432" t="s">
        <v>786</v>
      </c>
      <c r="K451" s="432">
        <v>-25</v>
      </c>
      <c r="L451" s="432">
        <v>70</v>
      </c>
      <c r="M451" s="432" t="s">
        <v>648</v>
      </c>
      <c r="N451" s="432">
        <v>70</v>
      </c>
      <c r="O451" s="431" t="s">
        <v>168</v>
      </c>
      <c r="P451" s="431" t="s">
        <v>168</v>
      </c>
      <c r="Q451" s="434">
        <f>C451*((100-Discounts!$B$27)/100)</f>
        <v>31.237499999999997</v>
      </c>
      <c r="R451" t="str">
        <f>IF(ISNUMBER(Table3[[#This Row],[Thickness]]), "Zenith", "")</f>
        <v>Zenith</v>
      </c>
      <c r="S451">
        <v>15</v>
      </c>
      <c r="T451">
        <v>600</v>
      </c>
    </row>
    <row r="452" spans="1:20" x14ac:dyDescent="0.85">
      <c r="A452" s="437" t="s">
        <v>142</v>
      </c>
      <c r="B452" s="437" t="s">
        <v>220</v>
      </c>
      <c r="C452" s="430">
        <v>105.5</v>
      </c>
      <c r="D452" s="430"/>
      <c r="E452" s="430" t="s">
        <v>757</v>
      </c>
      <c r="F452" s="438">
        <v>6</v>
      </c>
      <c r="G452" s="438">
        <v>1400</v>
      </c>
      <c r="H452" s="438">
        <v>10000</v>
      </c>
      <c r="I452" s="431" t="s">
        <v>777</v>
      </c>
      <c r="J452" s="432" t="s">
        <v>786</v>
      </c>
      <c r="K452" s="432">
        <v>-25</v>
      </c>
      <c r="L452" s="432">
        <v>70</v>
      </c>
      <c r="M452" s="432" t="s">
        <v>648</v>
      </c>
      <c r="N452" s="432">
        <v>70</v>
      </c>
      <c r="O452" s="431" t="s">
        <v>168</v>
      </c>
      <c r="P452" s="431" t="s">
        <v>168</v>
      </c>
      <c r="Q452" s="430">
        <f>C452*((100-Discounts!$B$27)/100)</f>
        <v>36.924999999999997</v>
      </c>
      <c r="R452" t="str">
        <f>IF(ISNUMBER(Table3[[#This Row],[Thickness]]), "Zenith", "")</f>
        <v>Zenith</v>
      </c>
      <c r="S452">
        <v>15</v>
      </c>
      <c r="T452">
        <v>600</v>
      </c>
    </row>
    <row r="453" spans="1:20" x14ac:dyDescent="0.85">
      <c r="A453" s="439" t="s">
        <v>143</v>
      </c>
      <c r="B453" s="437" t="s">
        <v>220</v>
      </c>
      <c r="C453" s="434">
        <v>140.5</v>
      </c>
      <c r="D453" s="434"/>
      <c r="E453" s="430" t="s">
        <v>757</v>
      </c>
      <c r="F453" s="440">
        <v>8</v>
      </c>
      <c r="G453" s="440">
        <v>1400</v>
      </c>
      <c r="H453" s="440">
        <v>5000</v>
      </c>
      <c r="I453" s="431" t="s">
        <v>777</v>
      </c>
      <c r="J453" s="432" t="s">
        <v>786</v>
      </c>
      <c r="K453" s="432">
        <v>-25</v>
      </c>
      <c r="L453" s="432">
        <v>70</v>
      </c>
      <c r="M453" s="432" t="s">
        <v>648</v>
      </c>
      <c r="N453" s="432">
        <v>70</v>
      </c>
      <c r="O453" s="431" t="s">
        <v>168</v>
      </c>
      <c r="P453" s="431" t="s">
        <v>168</v>
      </c>
      <c r="Q453" s="434">
        <f>C453*((100-Discounts!$B$27)/100)</f>
        <v>49.174999999999997</v>
      </c>
      <c r="R453" t="str">
        <f>IF(ISNUMBER(Table3[[#This Row],[Thickness]]), "Zenith", "")</f>
        <v>Zenith</v>
      </c>
      <c r="S453">
        <v>15</v>
      </c>
      <c r="T453">
        <v>600</v>
      </c>
    </row>
    <row r="454" spans="1:20" x14ac:dyDescent="0.85">
      <c r="A454" s="437" t="s">
        <v>143</v>
      </c>
      <c r="B454" s="437" t="s">
        <v>220</v>
      </c>
      <c r="C454" s="430">
        <v>140.5</v>
      </c>
      <c r="D454" s="430"/>
      <c r="E454" s="430" t="s">
        <v>757</v>
      </c>
      <c r="F454" s="438">
        <v>8</v>
      </c>
      <c r="G454" s="438">
        <v>1400</v>
      </c>
      <c r="H454" s="438">
        <v>5000</v>
      </c>
      <c r="I454" s="431" t="s">
        <v>777</v>
      </c>
      <c r="J454" s="432" t="s">
        <v>786</v>
      </c>
      <c r="K454" s="432">
        <v>-25</v>
      </c>
      <c r="L454" s="432">
        <v>70</v>
      </c>
      <c r="M454" s="432" t="s">
        <v>648</v>
      </c>
      <c r="N454" s="432">
        <v>70</v>
      </c>
      <c r="O454" s="431" t="s">
        <v>168</v>
      </c>
      <c r="P454" s="431" t="s">
        <v>168</v>
      </c>
      <c r="Q454" s="430">
        <f>C454*((100-Discounts!$B$27)/100)</f>
        <v>49.174999999999997</v>
      </c>
      <c r="R454" t="str">
        <f>IF(ISNUMBER(Table3[[#This Row],[Thickness]]), "Zenith", "")</f>
        <v>Zenith</v>
      </c>
      <c r="S454">
        <v>15</v>
      </c>
      <c r="T454">
        <v>600</v>
      </c>
    </row>
    <row r="455" spans="1:20" x14ac:dyDescent="0.85">
      <c r="A455" s="439" t="s">
        <v>144</v>
      </c>
      <c r="B455" s="437" t="s">
        <v>220</v>
      </c>
      <c r="C455" s="434">
        <v>172.5</v>
      </c>
      <c r="D455" s="434"/>
      <c r="E455" s="430" t="s">
        <v>757</v>
      </c>
      <c r="F455" s="440">
        <v>10</v>
      </c>
      <c r="G455" s="440">
        <v>1400</v>
      </c>
      <c r="H455" s="440">
        <v>5000</v>
      </c>
      <c r="I455" s="431" t="s">
        <v>777</v>
      </c>
      <c r="J455" s="432" t="s">
        <v>786</v>
      </c>
      <c r="K455" s="432">
        <v>-25</v>
      </c>
      <c r="L455" s="432">
        <v>70</v>
      </c>
      <c r="M455" s="432" t="s">
        <v>648</v>
      </c>
      <c r="N455" s="432">
        <v>70</v>
      </c>
      <c r="O455" s="431" t="s">
        <v>168</v>
      </c>
      <c r="P455" s="431" t="s">
        <v>168</v>
      </c>
      <c r="Q455" s="434">
        <f>C455*((100-Discounts!$B$27)/100)</f>
        <v>60.374999999999993</v>
      </c>
      <c r="R455" t="str">
        <f>IF(ISNUMBER(Table3[[#This Row],[Thickness]]), "Zenith", "")</f>
        <v>Zenith</v>
      </c>
      <c r="S455">
        <v>15</v>
      </c>
      <c r="T455">
        <v>600</v>
      </c>
    </row>
    <row r="456" spans="1:20" x14ac:dyDescent="0.85">
      <c r="A456" s="437" t="s">
        <v>144</v>
      </c>
      <c r="B456" s="437" t="s">
        <v>220</v>
      </c>
      <c r="C456" s="430">
        <v>172.5</v>
      </c>
      <c r="D456" s="430"/>
      <c r="E456" s="430" t="s">
        <v>757</v>
      </c>
      <c r="F456" s="438">
        <v>10</v>
      </c>
      <c r="G456" s="438">
        <v>1400</v>
      </c>
      <c r="H456" s="438">
        <v>5000</v>
      </c>
      <c r="I456" s="431" t="s">
        <v>777</v>
      </c>
      <c r="J456" s="432" t="s">
        <v>786</v>
      </c>
      <c r="K456" s="432">
        <v>-25</v>
      </c>
      <c r="L456" s="432">
        <v>70</v>
      </c>
      <c r="M456" s="432" t="s">
        <v>648</v>
      </c>
      <c r="N456" s="432">
        <v>70</v>
      </c>
      <c r="O456" s="431" t="s">
        <v>168</v>
      </c>
      <c r="P456" s="431" t="s">
        <v>168</v>
      </c>
      <c r="Q456" s="430">
        <f>C456*((100-Discounts!$B$27)/100)</f>
        <v>60.374999999999993</v>
      </c>
      <c r="R456" t="str">
        <f>IF(ISNUMBER(Table3[[#This Row],[Thickness]]), "Zenith", "")</f>
        <v>Zenith</v>
      </c>
      <c r="S456">
        <v>15</v>
      </c>
      <c r="T456">
        <v>600</v>
      </c>
    </row>
    <row r="457" spans="1:20" x14ac:dyDescent="0.85">
      <c r="A457" s="439" t="s">
        <v>145</v>
      </c>
      <c r="B457" s="437" t="s">
        <v>220</v>
      </c>
      <c r="C457" s="434">
        <v>207</v>
      </c>
      <c r="D457" s="434"/>
      <c r="E457" s="430" t="s">
        <v>757</v>
      </c>
      <c r="F457" s="440">
        <v>12</v>
      </c>
      <c r="G457" s="440">
        <v>1400</v>
      </c>
      <c r="H457" s="440">
        <v>5000</v>
      </c>
      <c r="I457" s="431" t="s">
        <v>777</v>
      </c>
      <c r="J457" s="432" t="s">
        <v>786</v>
      </c>
      <c r="K457" s="432">
        <v>-25</v>
      </c>
      <c r="L457" s="432">
        <v>70</v>
      </c>
      <c r="M457" s="432" t="s">
        <v>648</v>
      </c>
      <c r="N457" s="432">
        <v>70</v>
      </c>
      <c r="O457" s="431" t="s">
        <v>168</v>
      </c>
      <c r="P457" s="431" t="s">
        <v>168</v>
      </c>
      <c r="Q457" s="434">
        <f>C457*((100-Discounts!$B$27)/100)</f>
        <v>72.449999999999989</v>
      </c>
      <c r="R457" t="str">
        <f>IF(ISNUMBER(Table3[[#This Row],[Thickness]]), "Zenith", "")</f>
        <v>Zenith</v>
      </c>
      <c r="S457">
        <v>15</v>
      </c>
      <c r="T457">
        <v>600</v>
      </c>
    </row>
    <row r="458" spans="1:20" x14ac:dyDescent="0.85">
      <c r="A458" s="437" t="s">
        <v>146</v>
      </c>
      <c r="B458" s="437" t="s">
        <v>220</v>
      </c>
      <c r="C458" s="430">
        <v>254.5</v>
      </c>
      <c r="D458" s="430"/>
      <c r="E458" s="430" t="s">
        <v>757</v>
      </c>
      <c r="F458" s="438">
        <v>15</v>
      </c>
      <c r="G458" s="438">
        <v>1400</v>
      </c>
      <c r="H458" s="438">
        <v>5000</v>
      </c>
      <c r="I458" s="431" t="s">
        <v>777</v>
      </c>
      <c r="J458" s="432" t="s">
        <v>786</v>
      </c>
      <c r="K458" s="432">
        <v>-25</v>
      </c>
      <c r="L458" s="432">
        <v>70</v>
      </c>
      <c r="M458" s="432" t="s">
        <v>648</v>
      </c>
      <c r="N458" s="432">
        <v>70</v>
      </c>
      <c r="O458" s="431" t="s">
        <v>168</v>
      </c>
      <c r="P458" s="431" t="s">
        <v>168</v>
      </c>
      <c r="Q458" s="430">
        <f>C458*((100-Discounts!$B$27)/100)</f>
        <v>89.074999999999989</v>
      </c>
      <c r="R458" t="str">
        <f>IF(ISNUMBER(Table3[[#This Row],[Thickness]]), "Zenith", "")</f>
        <v>Zenith</v>
      </c>
      <c r="S458">
        <v>15</v>
      </c>
      <c r="T458">
        <v>600</v>
      </c>
    </row>
    <row r="459" spans="1:20" x14ac:dyDescent="0.85">
      <c r="A459" s="439" t="s">
        <v>147</v>
      </c>
      <c r="B459" s="437" t="s">
        <v>220</v>
      </c>
      <c r="C459" s="434">
        <v>339.25</v>
      </c>
      <c r="D459" s="434"/>
      <c r="E459" s="430" t="s">
        <v>757</v>
      </c>
      <c r="F459" s="440">
        <v>20</v>
      </c>
      <c r="G459" s="440">
        <v>1400</v>
      </c>
      <c r="H459" s="440">
        <v>5000</v>
      </c>
      <c r="I459" s="431" t="s">
        <v>777</v>
      </c>
      <c r="J459" s="432" t="s">
        <v>786</v>
      </c>
      <c r="K459" s="432">
        <v>-25</v>
      </c>
      <c r="L459" s="432">
        <v>70</v>
      </c>
      <c r="M459" s="432" t="s">
        <v>648</v>
      </c>
      <c r="N459" s="432">
        <v>70</v>
      </c>
      <c r="O459" s="431" t="s">
        <v>168</v>
      </c>
      <c r="P459" s="431" t="s">
        <v>168</v>
      </c>
      <c r="Q459" s="434">
        <f>C459*((100-Discounts!$B$27)/100)</f>
        <v>118.7375</v>
      </c>
      <c r="R459" t="str">
        <f>IF(ISNUMBER(Table3[[#This Row],[Thickness]]), "Zenith", "")</f>
        <v>Zenith</v>
      </c>
      <c r="S459">
        <v>15</v>
      </c>
      <c r="T459">
        <v>600</v>
      </c>
    </row>
    <row r="460" spans="1:20" ht="27" thickBot="1" x14ac:dyDescent="0.9">
      <c r="A460" s="381"/>
      <c r="B460" s="382"/>
      <c r="C460" s="383"/>
      <c r="D460" s="383"/>
      <c r="E460" s="383"/>
      <c r="F460" s="384" t="s">
        <v>221</v>
      </c>
      <c r="G460" s="384">
        <v>0</v>
      </c>
      <c r="H460" s="331">
        <v>0</v>
      </c>
      <c r="I460" s="217" t="s">
        <v>777</v>
      </c>
      <c r="J460" t="s">
        <v>786</v>
      </c>
      <c r="M460" s="348"/>
      <c r="N460" s="343"/>
      <c r="O460" s="217" t="s">
        <v>168</v>
      </c>
      <c r="P460" s="385" t="s">
        <v>168</v>
      </c>
      <c r="Q460" s="386" t="s">
        <v>323</v>
      </c>
      <c r="R460" t="str">
        <f>IF(ISNUMBER(Table3[[#This Row],[Thickness]]), "Zenith", "")</f>
        <v/>
      </c>
    </row>
    <row r="461" spans="1:20" ht="54" thickTop="1" thickBot="1" x14ac:dyDescent="0.9">
      <c r="A461" s="190" t="s">
        <v>322</v>
      </c>
      <c r="B461" s="303"/>
      <c r="C461" s="263" t="s">
        <v>179</v>
      </c>
      <c r="D461" s="315"/>
      <c r="E461" s="315"/>
      <c r="F461" s="261" t="s">
        <v>320</v>
      </c>
      <c r="G461" s="261" t="e">
        <v>#VALUE!</v>
      </c>
      <c r="H461" s="262" t="e">
        <v>#VALUE!</v>
      </c>
      <c r="I461" s="217" t="s">
        <v>777</v>
      </c>
      <c r="J461" t="s">
        <v>786</v>
      </c>
      <c r="M461" s="234"/>
      <c r="N461" s="230"/>
      <c r="O461" s="235" t="s">
        <v>168</v>
      </c>
      <c r="P461" s="235" t="s">
        <v>168</v>
      </c>
      <c r="Q461" s="264" t="s">
        <v>199</v>
      </c>
      <c r="R461" t="str">
        <f>IF(ISNUMBER(Table3[[#This Row],[Thickness]]), "Zenith", "")</f>
        <v/>
      </c>
    </row>
    <row r="462" spans="1:20" ht="27" thickTop="1" x14ac:dyDescent="0.85">
      <c r="A462" s="429" t="s">
        <v>182</v>
      </c>
      <c r="B462" s="429" t="s">
        <v>221</v>
      </c>
      <c r="C462" s="430">
        <v>28</v>
      </c>
      <c r="D462" s="430"/>
      <c r="E462" s="430" t="s">
        <v>757</v>
      </c>
      <c r="F462" s="431">
        <v>1.5</v>
      </c>
      <c r="G462" s="431">
        <v>1400</v>
      </c>
      <c r="H462" s="431">
        <v>15000</v>
      </c>
      <c r="I462" s="431" t="s">
        <v>777</v>
      </c>
      <c r="J462" s="432" t="s">
        <v>786</v>
      </c>
      <c r="K462" s="432">
        <v>-25</v>
      </c>
      <c r="L462" s="432">
        <v>70</v>
      </c>
      <c r="M462" s="432" t="s">
        <v>572</v>
      </c>
      <c r="N462" s="432">
        <v>45</v>
      </c>
      <c r="O462" s="431" t="s">
        <v>168</v>
      </c>
      <c r="P462" s="431" t="s">
        <v>168</v>
      </c>
      <c r="Q462" s="430">
        <f>C462*((100-Discounts!$B$28)/100)</f>
        <v>9.7999999999999989</v>
      </c>
      <c r="R462" t="str">
        <f>IF(ISNUMBER(Table3[[#This Row],[Thickness]]), "Zenith", "")</f>
        <v>Zenith</v>
      </c>
      <c r="S462">
        <v>15</v>
      </c>
      <c r="T462">
        <v>600</v>
      </c>
    </row>
    <row r="463" spans="1:20" x14ac:dyDescent="0.85">
      <c r="A463" s="433" t="s">
        <v>148</v>
      </c>
      <c r="B463" s="429" t="s">
        <v>221</v>
      </c>
      <c r="C463" s="434">
        <v>36.25</v>
      </c>
      <c r="D463" s="434"/>
      <c r="E463" s="430" t="s">
        <v>757</v>
      </c>
      <c r="F463" s="435">
        <v>2</v>
      </c>
      <c r="G463" s="435">
        <v>1400</v>
      </c>
      <c r="H463" s="435">
        <v>10000</v>
      </c>
      <c r="I463" s="431" t="s">
        <v>777</v>
      </c>
      <c r="J463" s="432" t="s">
        <v>786</v>
      </c>
      <c r="K463" s="432">
        <v>-25</v>
      </c>
      <c r="L463" s="432">
        <v>70</v>
      </c>
      <c r="M463" s="432" t="s">
        <v>572</v>
      </c>
      <c r="N463" s="432">
        <v>45</v>
      </c>
      <c r="O463" s="431" t="s">
        <v>168</v>
      </c>
      <c r="P463" s="431" t="s">
        <v>168</v>
      </c>
      <c r="Q463" s="434">
        <f>C463*((100-Discounts!$B$28)/100)</f>
        <v>12.6875</v>
      </c>
      <c r="R463" t="str">
        <f>IF(ISNUMBER(Table3[[#This Row],[Thickness]]), "Zenith", "")</f>
        <v>Zenith</v>
      </c>
      <c r="S463">
        <v>15</v>
      </c>
      <c r="T463">
        <v>600</v>
      </c>
    </row>
    <row r="464" spans="1:20" x14ac:dyDescent="0.85">
      <c r="A464" s="429" t="s">
        <v>149</v>
      </c>
      <c r="B464" s="429" t="s">
        <v>221</v>
      </c>
      <c r="C464" s="430">
        <v>53.75</v>
      </c>
      <c r="D464" s="430"/>
      <c r="E464" s="430" t="s">
        <v>757</v>
      </c>
      <c r="F464" s="431">
        <v>3</v>
      </c>
      <c r="G464" s="431">
        <v>1400</v>
      </c>
      <c r="H464" s="431">
        <v>10000</v>
      </c>
      <c r="I464" s="431" t="s">
        <v>777</v>
      </c>
      <c r="J464" s="432" t="s">
        <v>786</v>
      </c>
      <c r="K464" s="432">
        <v>-25</v>
      </c>
      <c r="L464" s="432">
        <v>70</v>
      </c>
      <c r="M464" s="432" t="s">
        <v>572</v>
      </c>
      <c r="N464" s="432">
        <v>45</v>
      </c>
      <c r="O464" s="431" t="s">
        <v>168</v>
      </c>
      <c r="P464" s="431" t="s">
        <v>168</v>
      </c>
      <c r="Q464" s="430">
        <f>C464*((100-Discounts!$B$28)/100)</f>
        <v>18.8125</v>
      </c>
      <c r="R464" t="str">
        <f>IF(ISNUMBER(Table3[[#This Row],[Thickness]]), "Zenith", "")</f>
        <v>Zenith</v>
      </c>
      <c r="S464">
        <v>15</v>
      </c>
      <c r="T464">
        <v>600</v>
      </c>
    </row>
    <row r="465" spans="1:20" x14ac:dyDescent="0.85">
      <c r="A465" s="433" t="s">
        <v>150</v>
      </c>
      <c r="B465" s="429" t="s">
        <v>221</v>
      </c>
      <c r="C465" s="434">
        <v>71.25</v>
      </c>
      <c r="D465" s="434"/>
      <c r="E465" s="430" t="s">
        <v>757</v>
      </c>
      <c r="F465" s="435">
        <v>4</v>
      </c>
      <c r="G465" s="435">
        <v>1400</v>
      </c>
      <c r="H465" s="435">
        <v>10000</v>
      </c>
      <c r="I465" s="431" t="s">
        <v>777</v>
      </c>
      <c r="J465" s="432" t="s">
        <v>786</v>
      </c>
      <c r="K465" s="432">
        <v>-25</v>
      </c>
      <c r="L465" s="432">
        <v>70</v>
      </c>
      <c r="M465" s="432" t="s">
        <v>572</v>
      </c>
      <c r="N465" s="432">
        <v>45</v>
      </c>
      <c r="O465" s="431" t="s">
        <v>168</v>
      </c>
      <c r="P465" s="431" t="s">
        <v>168</v>
      </c>
      <c r="Q465" s="434">
        <f>C465*((100-Discounts!$B$28)/100)</f>
        <v>24.9375</v>
      </c>
      <c r="R465" t="str">
        <f>IF(ISNUMBER(Table3[[#This Row],[Thickness]]), "Zenith", "")</f>
        <v>Zenith</v>
      </c>
      <c r="S465">
        <v>15</v>
      </c>
      <c r="T465">
        <v>600</v>
      </c>
    </row>
    <row r="466" spans="1:20" x14ac:dyDescent="0.85">
      <c r="A466" s="429" t="s">
        <v>151</v>
      </c>
      <c r="B466" s="429" t="s">
        <v>221</v>
      </c>
      <c r="C466" s="430">
        <v>89.25</v>
      </c>
      <c r="D466" s="430"/>
      <c r="E466" s="430" t="s">
        <v>757</v>
      </c>
      <c r="F466" s="431">
        <v>5</v>
      </c>
      <c r="G466" s="431">
        <v>1400</v>
      </c>
      <c r="H466" s="431">
        <v>10000</v>
      </c>
      <c r="I466" s="431" t="s">
        <v>777</v>
      </c>
      <c r="J466" s="432" t="s">
        <v>786</v>
      </c>
      <c r="K466" s="432">
        <v>-25</v>
      </c>
      <c r="L466" s="432">
        <v>70</v>
      </c>
      <c r="M466" s="432" t="s">
        <v>572</v>
      </c>
      <c r="N466" s="432">
        <v>45</v>
      </c>
      <c r="O466" s="431" t="s">
        <v>168</v>
      </c>
      <c r="P466" s="431" t="s">
        <v>168</v>
      </c>
      <c r="Q466" s="430">
        <f>C466*((100-Discounts!$B$28)/100)</f>
        <v>31.237499999999997</v>
      </c>
      <c r="R466" t="str">
        <f>IF(ISNUMBER(Table3[[#This Row],[Thickness]]), "Zenith", "")</f>
        <v>Zenith</v>
      </c>
      <c r="S466">
        <v>15</v>
      </c>
      <c r="T466">
        <v>600</v>
      </c>
    </row>
    <row r="467" spans="1:20" x14ac:dyDescent="0.85">
      <c r="A467" s="433" t="s">
        <v>152</v>
      </c>
      <c r="B467" s="429" t="s">
        <v>221</v>
      </c>
      <c r="C467" s="434">
        <v>105.5</v>
      </c>
      <c r="D467" s="434"/>
      <c r="E467" s="430" t="s">
        <v>757</v>
      </c>
      <c r="F467" s="435">
        <v>6</v>
      </c>
      <c r="G467" s="435">
        <v>1400</v>
      </c>
      <c r="H467" s="435">
        <v>10000</v>
      </c>
      <c r="I467" s="431" t="s">
        <v>777</v>
      </c>
      <c r="J467" s="432" t="s">
        <v>786</v>
      </c>
      <c r="K467" s="432">
        <v>-25</v>
      </c>
      <c r="L467" s="432">
        <v>70</v>
      </c>
      <c r="M467" s="432" t="s">
        <v>572</v>
      </c>
      <c r="N467" s="432">
        <v>45</v>
      </c>
      <c r="O467" s="431" t="s">
        <v>168</v>
      </c>
      <c r="P467" s="431" t="s">
        <v>168</v>
      </c>
      <c r="Q467" s="434">
        <f>C467*((100-Discounts!$B$28)/100)</f>
        <v>36.924999999999997</v>
      </c>
      <c r="R467" t="str">
        <f>IF(ISNUMBER(Table3[[#This Row],[Thickness]]), "Zenith", "")</f>
        <v>Zenith</v>
      </c>
      <c r="S467">
        <v>15</v>
      </c>
      <c r="T467">
        <v>600</v>
      </c>
    </row>
    <row r="468" spans="1:20" x14ac:dyDescent="0.85">
      <c r="A468" s="429" t="s">
        <v>153</v>
      </c>
      <c r="B468" s="429" t="s">
        <v>221</v>
      </c>
      <c r="C468" s="430">
        <v>172.5</v>
      </c>
      <c r="D468" s="430"/>
      <c r="E468" s="430" t="s">
        <v>757</v>
      </c>
      <c r="F468" s="431">
        <v>10</v>
      </c>
      <c r="G468" s="431">
        <v>1400</v>
      </c>
      <c r="H468" s="431">
        <v>5000</v>
      </c>
      <c r="I468" s="431" t="s">
        <v>777</v>
      </c>
      <c r="J468" s="432" t="s">
        <v>786</v>
      </c>
      <c r="K468" s="432">
        <v>-25</v>
      </c>
      <c r="L468" s="432">
        <v>70</v>
      </c>
      <c r="M468" s="432" t="s">
        <v>572</v>
      </c>
      <c r="N468" s="432">
        <v>45</v>
      </c>
      <c r="O468" s="431" t="s">
        <v>168</v>
      </c>
      <c r="P468" s="431" t="s">
        <v>168</v>
      </c>
      <c r="Q468" s="430">
        <f>C468*((100-Discounts!$B$28)/100)</f>
        <v>60.374999999999993</v>
      </c>
      <c r="R468" t="str">
        <f>IF(ISNUMBER(Table3[[#This Row],[Thickness]]), "Zenith", "")</f>
        <v>Zenith</v>
      </c>
      <c r="S468">
        <v>15</v>
      </c>
      <c r="T468">
        <v>600</v>
      </c>
    </row>
    <row r="469" spans="1:20" ht="27" thickBot="1" x14ac:dyDescent="0.9">
      <c r="A469" s="381"/>
      <c r="B469" s="382"/>
      <c r="C469" s="383"/>
      <c r="D469" s="383"/>
      <c r="E469" s="383"/>
      <c r="F469" s="384" t="s">
        <v>255</v>
      </c>
      <c r="G469" s="384">
        <v>0</v>
      </c>
      <c r="H469" s="331">
        <v>0</v>
      </c>
      <c r="I469" s="217" t="s">
        <v>777</v>
      </c>
      <c r="J469" t="s">
        <v>786</v>
      </c>
      <c r="M469" s="352"/>
      <c r="N469" s="349"/>
      <c r="O469" s="217" t="s">
        <v>168</v>
      </c>
      <c r="P469" s="385" t="s">
        <v>168</v>
      </c>
      <c r="Q469" s="386" t="s">
        <v>323</v>
      </c>
      <c r="R469" t="str">
        <f>IF(ISNUMBER(Table3[[#This Row],[Thickness]]), "Zenith", "")</f>
        <v/>
      </c>
    </row>
    <row r="470" spans="1:20" ht="54" thickTop="1" thickBot="1" x14ac:dyDescent="0.9">
      <c r="A470" s="190" t="s">
        <v>322</v>
      </c>
      <c r="B470" s="303"/>
      <c r="C470" s="263" t="s">
        <v>179</v>
      </c>
      <c r="D470" s="315"/>
      <c r="E470" s="315"/>
      <c r="F470" s="261" t="s">
        <v>320</v>
      </c>
      <c r="G470" s="261" t="e">
        <v>#VALUE!</v>
      </c>
      <c r="H470" s="262" t="e">
        <v>#VALUE!</v>
      </c>
      <c r="I470" s="217" t="s">
        <v>777</v>
      </c>
      <c r="J470" t="s">
        <v>786</v>
      </c>
      <c r="M470" s="231"/>
      <c r="N470" s="233"/>
      <c r="O470" s="235" t="s">
        <v>168</v>
      </c>
      <c r="P470" s="235" t="s">
        <v>168</v>
      </c>
      <c r="Q470" s="264" t="s">
        <v>199</v>
      </c>
      <c r="R470" t="str">
        <f>IF(ISNUMBER(Table3[[#This Row],[Thickness]]), "Zenith", "")</f>
        <v/>
      </c>
    </row>
    <row r="471" spans="1:20" ht="27" thickTop="1" x14ac:dyDescent="0.85">
      <c r="A471" s="429" t="s">
        <v>154</v>
      </c>
      <c r="B471" s="429" t="s">
        <v>255</v>
      </c>
      <c r="C471" s="430">
        <v>13</v>
      </c>
      <c r="D471" s="430"/>
      <c r="E471" s="430" t="s">
        <v>757</v>
      </c>
      <c r="F471" s="431">
        <v>1</v>
      </c>
      <c r="G471" s="431">
        <v>1400</v>
      </c>
      <c r="H471" s="431">
        <v>20000</v>
      </c>
      <c r="I471" s="431" t="s">
        <v>777</v>
      </c>
      <c r="J471" s="432" t="s">
        <v>786</v>
      </c>
      <c r="K471" s="432">
        <v>-30</v>
      </c>
      <c r="L471" s="432">
        <v>70</v>
      </c>
      <c r="M471" s="432" t="s">
        <v>637</v>
      </c>
      <c r="N471" s="432">
        <v>45</v>
      </c>
      <c r="O471" s="431" t="s">
        <v>168</v>
      </c>
      <c r="P471" s="431" t="s">
        <v>168</v>
      </c>
      <c r="Q471" s="430">
        <f>C471*((100-Discounts!$B$29)/100)</f>
        <v>4.55</v>
      </c>
      <c r="R471" t="str">
        <f>IF(ISNUMBER(Table3[[#This Row],[Thickness]]), "Zenith", "")</f>
        <v>Zenith</v>
      </c>
      <c r="S471">
        <v>15</v>
      </c>
      <c r="T471">
        <v>600</v>
      </c>
    </row>
    <row r="472" spans="1:20" x14ac:dyDescent="0.85">
      <c r="A472" s="433" t="s">
        <v>155</v>
      </c>
      <c r="B472" s="429" t="s">
        <v>255</v>
      </c>
      <c r="C472" s="434">
        <v>19.5</v>
      </c>
      <c r="D472" s="434"/>
      <c r="E472" s="430" t="s">
        <v>757</v>
      </c>
      <c r="F472" s="435">
        <v>1.5</v>
      </c>
      <c r="G472" s="435">
        <v>1400</v>
      </c>
      <c r="H472" s="435">
        <v>15000</v>
      </c>
      <c r="I472" s="431" t="s">
        <v>777</v>
      </c>
      <c r="J472" s="432" t="s">
        <v>786</v>
      </c>
      <c r="K472" s="432">
        <v>-30</v>
      </c>
      <c r="L472" s="432">
        <v>70</v>
      </c>
      <c r="M472" s="432" t="s">
        <v>637</v>
      </c>
      <c r="N472" s="432">
        <v>45</v>
      </c>
      <c r="O472" s="431" t="s">
        <v>168</v>
      </c>
      <c r="P472" s="431" t="s">
        <v>168</v>
      </c>
      <c r="Q472" s="434">
        <f>C472*((100-Discounts!$B$29)/100)</f>
        <v>6.8249999999999993</v>
      </c>
      <c r="R472" t="str">
        <f>IF(ISNUMBER(Table3[[#This Row],[Thickness]]), "Zenith", "")</f>
        <v>Zenith</v>
      </c>
      <c r="S472">
        <v>15</v>
      </c>
      <c r="T472">
        <v>600</v>
      </c>
    </row>
    <row r="473" spans="1:20" x14ac:dyDescent="0.85">
      <c r="A473" s="429" t="s">
        <v>156</v>
      </c>
      <c r="B473" s="429" t="s">
        <v>255</v>
      </c>
      <c r="C473" s="430">
        <v>26</v>
      </c>
      <c r="D473" s="430"/>
      <c r="E473" s="430" t="s">
        <v>757</v>
      </c>
      <c r="F473" s="431">
        <v>2</v>
      </c>
      <c r="G473" s="431">
        <v>1400</v>
      </c>
      <c r="H473" s="431">
        <v>10000</v>
      </c>
      <c r="I473" s="431" t="s">
        <v>777</v>
      </c>
      <c r="J473" s="432" t="s">
        <v>786</v>
      </c>
      <c r="K473" s="432">
        <v>-30</v>
      </c>
      <c r="L473" s="432">
        <v>70</v>
      </c>
      <c r="M473" s="432" t="s">
        <v>637</v>
      </c>
      <c r="N473" s="432">
        <v>45</v>
      </c>
      <c r="O473" s="431" t="s">
        <v>168</v>
      </c>
      <c r="P473" s="431" t="s">
        <v>168</v>
      </c>
      <c r="Q473" s="430">
        <f>C473*((100-Discounts!$B$29)/100)</f>
        <v>9.1</v>
      </c>
      <c r="R473" t="str">
        <f>IF(ISNUMBER(Table3[[#This Row],[Thickness]]), "Zenith", "")</f>
        <v>Zenith</v>
      </c>
      <c r="S473">
        <v>15</v>
      </c>
      <c r="T473">
        <v>600</v>
      </c>
    </row>
    <row r="474" spans="1:20" x14ac:dyDescent="0.85">
      <c r="A474" s="433" t="s">
        <v>157</v>
      </c>
      <c r="B474" s="429" t="s">
        <v>255</v>
      </c>
      <c r="C474" s="434">
        <v>40</v>
      </c>
      <c r="D474" s="434"/>
      <c r="E474" s="430" t="s">
        <v>757</v>
      </c>
      <c r="F474" s="435">
        <v>3</v>
      </c>
      <c r="G474" s="435">
        <v>1400</v>
      </c>
      <c r="H474" s="435">
        <v>10000</v>
      </c>
      <c r="I474" s="431" t="s">
        <v>777</v>
      </c>
      <c r="J474" s="432" t="s">
        <v>786</v>
      </c>
      <c r="K474" s="432">
        <v>-30</v>
      </c>
      <c r="L474" s="432">
        <v>70</v>
      </c>
      <c r="M474" s="432" t="s">
        <v>637</v>
      </c>
      <c r="N474" s="432">
        <v>45</v>
      </c>
      <c r="O474" s="431" t="s">
        <v>168</v>
      </c>
      <c r="P474" s="431" t="s">
        <v>168</v>
      </c>
      <c r="Q474" s="434">
        <f>C474*((100-Discounts!$B$29)/100)</f>
        <v>14</v>
      </c>
      <c r="R474" t="str">
        <f>IF(ISNUMBER(Table3[[#This Row],[Thickness]]), "Zenith", "")</f>
        <v>Zenith</v>
      </c>
      <c r="S474">
        <v>15</v>
      </c>
      <c r="T474">
        <v>600</v>
      </c>
    </row>
    <row r="475" spans="1:20" x14ac:dyDescent="0.85">
      <c r="A475" s="429" t="s">
        <v>157</v>
      </c>
      <c r="B475" s="429" t="s">
        <v>255</v>
      </c>
      <c r="C475" s="430">
        <v>40</v>
      </c>
      <c r="D475" s="430"/>
      <c r="E475" s="430" t="s">
        <v>757</v>
      </c>
      <c r="F475" s="431">
        <v>3</v>
      </c>
      <c r="G475" s="431">
        <v>2000</v>
      </c>
      <c r="H475" s="431">
        <v>10000</v>
      </c>
      <c r="I475" s="431" t="s">
        <v>777</v>
      </c>
      <c r="J475" s="432" t="s">
        <v>786</v>
      </c>
      <c r="K475" s="432">
        <v>-30</v>
      </c>
      <c r="L475" s="432">
        <v>70</v>
      </c>
      <c r="M475" s="432" t="s">
        <v>637</v>
      </c>
      <c r="N475" s="432">
        <v>45</v>
      </c>
      <c r="O475" s="431" t="s">
        <v>168</v>
      </c>
      <c r="P475" s="431" t="s">
        <v>168</v>
      </c>
      <c r="Q475" s="430">
        <f>C475*((100-Discounts!$B$29)/100)</f>
        <v>14</v>
      </c>
      <c r="R475" t="str">
        <f>IF(ISNUMBER(Table3[[#This Row],[Thickness]]), "Zenith", "")</f>
        <v>Zenith</v>
      </c>
      <c r="S475">
        <v>15</v>
      </c>
      <c r="T475">
        <v>600</v>
      </c>
    </row>
    <row r="476" spans="1:20" x14ac:dyDescent="0.85">
      <c r="A476" s="433" t="s">
        <v>158</v>
      </c>
      <c r="B476" s="429" t="s">
        <v>255</v>
      </c>
      <c r="C476" s="434">
        <v>53</v>
      </c>
      <c r="D476" s="434"/>
      <c r="E476" s="430" t="s">
        <v>757</v>
      </c>
      <c r="F476" s="435">
        <v>4</v>
      </c>
      <c r="G476" s="435">
        <v>1400</v>
      </c>
      <c r="H476" s="435">
        <v>10000</v>
      </c>
      <c r="I476" s="431" t="s">
        <v>777</v>
      </c>
      <c r="J476" s="432" t="s">
        <v>786</v>
      </c>
      <c r="K476" s="432">
        <v>-30</v>
      </c>
      <c r="L476" s="432">
        <v>70</v>
      </c>
      <c r="M476" s="432" t="s">
        <v>637</v>
      </c>
      <c r="N476" s="432">
        <v>45</v>
      </c>
      <c r="O476" s="431" t="s">
        <v>168</v>
      </c>
      <c r="P476" s="431" t="s">
        <v>168</v>
      </c>
      <c r="Q476" s="434">
        <f>C476*((100-Discounts!$B$29)/100)</f>
        <v>18.549999999999997</v>
      </c>
      <c r="R476" t="str">
        <f>IF(ISNUMBER(Table3[[#This Row],[Thickness]]), "Zenith", "")</f>
        <v>Zenith</v>
      </c>
      <c r="S476">
        <v>15</v>
      </c>
      <c r="T476">
        <v>600</v>
      </c>
    </row>
    <row r="477" spans="1:20" x14ac:dyDescent="0.85">
      <c r="A477" s="429" t="s">
        <v>158</v>
      </c>
      <c r="B477" s="429" t="s">
        <v>255</v>
      </c>
      <c r="C477" s="430">
        <v>53</v>
      </c>
      <c r="D477" s="430"/>
      <c r="E477" s="430" t="s">
        <v>757</v>
      </c>
      <c r="F477" s="431">
        <v>4</v>
      </c>
      <c r="G477" s="431">
        <v>2000</v>
      </c>
      <c r="H477" s="431">
        <v>10000</v>
      </c>
      <c r="I477" s="431" t="s">
        <v>777</v>
      </c>
      <c r="J477" s="432" t="s">
        <v>786</v>
      </c>
      <c r="K477" s="432">
        <v>-30</v>
      </c>
      <c r="L477" s="432">
        <v>70</v>
      </c>
      <c r="M477" s="432" t="s">
        <v>637</v>
      </c>
      <c r="N477" s="432">
        <v>45</v>
      </c>
      <c r="O477" s="431" t="s">
        <v>168</v>
      </c>
      <c r="P477" s="431" t="s">
        <v>168</v>
      </c>
      <c r="Q477" s="430">
        <f>C477*((100-Discounts!$B$29)/100)</f>
        <v>18.549999999999997</v>
      </c>
      <c r="R477" t="str">
        <f>IF(ISNUMBER(Table3[[#This Row],[Thickness]]), "Zenith", "")</f>
        <v>Zenith</v>
      </c>
      <c r="S477">
        <v>15</v>
      </c>
      <c r="T477">
        <v>600</v>
      </c>
    </row>
    <row r="478" spans="1:20" x14ac:dyDescent="0.85">
      <c r="A478" s="433" t="s">
        <v>159</v>
      </c>
      <c r="B478" s="429" t="s">
        <v>255</v>
      </c>
      <c r="C478" s="434">
        <v>65</v>
      </c>
      <c r="D478" s="434"/>
      <c r="E478" s="430" t="s">
        <v>757</v>
      </c>
      <c r="F478" s="435">
        <v>5</v>
      </c>
      <c r="G478" s="435">
        <v>1400</v>
      </c>
      <c r="H478" s="435">
        <v>10000</v>
      </c>
      <c r="I478" s="431" t="s">
        <v>777</v>
      </c>
      <c r="J478" s="432" t="s">
        <v>786</v>
      </c>
      <c r="K478" s="432">
        <v>-30</v>
      </c>
      <c r="L478" s="432">
        <v>70</v>
      </c>
      <c r="M478" s="432" t="s">
        <v>637</v>
      </c>
      <c r="N478" s="432">
        <v>45</v>
      </c>
      <c r="O478" s="431" t="s">
        <v>168</v>
      </c>
      <c r="P478" s="431" t="s">
        <v>168</v>
      </c>
      <c r="Q478" s="434">
        <f>C478*((100-Discounts!$B$29)/100)</f>
        <v>22.75</v>
      </c>
      <c r="R478" t="str">
        <f>IF(ISNUMBER(Table3[[#This Row],[Thickness]]), "Zenith", "")</f>
        <v>Zenith</v>
      </c>
      <c r="S478">
        <v>15</v>
      </c>
      <c r="T478">
        <v>600</v>
      </c>
    </row>
    <row r="479" spans="1:20" x14ac:dyDescent="0.85">
      <c r="A479" s="429" t="s">
        <v>159</v>
      </c>
      <c r="B479" s="429" t="s">
        <v>255</v>
      </c>
      <c r="C479" s="430">
        <v>65</v>
      </c>
      <c r="D479" s="430"/>
      <c r="E479" s="430" t="s">
        <v>757</v>
      </c>
      <c r="F479" s="431">
        <v>5</v>
      </c>
      <c r="G479" s="431">
        <v>15000</v>
      </c>
      <c r="H479" s="431">
        <v>10000</v>
      </c>
      <c r="I479" s="431" t="s">
        <v>777</v>
      </c>
      <c r="J479" s="432" t="s">
        <v>786</v>
      </c>
      <c r="K479" s="432">
        <v>-30</v>
      </c>
      <c r="L479" s="432">
        <v>70</v>
      </c>
      <c r="M479" s="432" t="s">
        <v>637</v>
      </c>
      <c r="N479" s="432">
        <v>45</v>
      </c>
      <c r="O479" s="431" t="s">
        <v>168</v>
      </c>
      <c r="P479" s="431" t="s">
        <v>168</v>
      </c>
      <c r="Q479" s="430">
        <f>C479*((100-Discounts!$B$29)/100)</f>
        <v>22.75</v>
      </c>
      <c r="R479" t="str">
        <f>IF(ISNUMBER(Table3[[#This Row],[Thickness]]), "Zenith", "")</f>
        <v>Zenith</v>
      </c>
      <c r="S479">
        <v>15</v>
      </c>
      <c r="T479">
        <v>600</v>
      </c>
    </row>
    <row r="480" spans="1:20" x14ac:dyDescent="0.85">
      <c r="A480" s="433" t="s">
        <v>160</v>
      </c>
      <c r="B480" s="429" t="s">
        <v>255</v>
      </c>
      <c r="C480" s="434">
        <v>80</v>
      </c>
      <c r="D480" s="434"/>
      <c r="E480" s="430" t="s">
        <v>757</v>
      </c>
      <c r="F480" s="435">
        <v>6</v>
      </c>
      <c r="G480" s="435">
        <v>1400</v>
      </c>
      <c r="H480" s="435">
        <v>10000</v>
      </c>
      <c r="I480" s="431" t="s">
        <v>777</v>
      </c>
      <c r="J480" s="432" t="s">
        <v>786</v>
      </c>
      <c r="K480" s="432">
        <v>-30</v>
      </c>
      <c r="L480" s="432">
        <v>70</v>
      </c>
      <c r="M480" s="432" t="s">
        <v>637</v>
      </c>
      <c r="N480" s="432">
        <v>45</v>
      </c>
      <c r="O480" s="431" t="s">
        <v>168</v>
      </c>
      <c r="P480" s="431" t="s">
        <v>168</v>
      </c>
      <c r="Q480" s="434">
        <f>C480*((100-Discounts!$B$29)/100)</f>
        <v>28</v>
      </c>
      <c r="R480" t="str">
        <f>IF(ISNUMBER(Table3[[#This Row],[Thickness]]), "Zenith", "")</f>
        <v>Zenith</v>
      </c>
      <c r="S480">
        <v>15</v>
      </c>
      <c r="T480">
        <v>600</v>
      </c>
    </row>
    <row r="481" spans="1:20" x14ac:dyDescent="0.85">
      <c r="A481" s="429" t="s">
        <v>160</v>
      </c>
      <c r="B481" s="429" t="s">
        <v>255</v>
      </c>
      <c r="C481" s="430">
        <v>80</v>
      </c>
      <c r="D481" s="430"/>
      <c r="E481" s="430" t="s">
        <v>757</v>
      </c>
      <c r="F481" s="431">
        <v>6</v>
      </c>
      <c r="G481" s="431">
        <v>2000</v>
      </c>
      <c r="H481" s="431">
        <v>10000</v>
      </c>
      <c r="I481" s="431" t="s">
        <v>777</v>
      </c>
      <c r="J481" s="432" t="s">
        <v>786</v>
      </c>
      <c r="K481" s="432">
        <v>-30</v>
      </c>
      <c r="L481" s="432">
        <v>70</v>
      </c>
      <c r="M481" s="432" t="s">
        <v>637</v>
      </c>
      <c r="N481" s="432">
        <v>45</v>
      </c>
      <c r="O481" s="431" t="s">
        <v>168</v>
      </c>
      <c r="P481" s="431" t="s">
        <v>168</v>
      </c>
      <c r="Q481" s="430">
        <f>C481*((100-Discounts!$B$29)/100)</f>
        <v>28</v>
      </c>
      <c r="R481" t="str">
        <f>IF(ISNUMBER(Table3[[#This Row],[Thickness]]), "Zenith", "")</f>
        <v>Zenith</v>
      </c>
      <c r="S481">
        <v>15</v>
      </c>
      <c r="T481">
        <v>600</v>
      </c>
    </row>
    <row r="482" spans="1:20" x14ac:dyDescent="0.85">
      <c r="A482" s="433" t="s">
        <v>161</v>
      </c>
      <c r="B482" s="429" t="s">
        <v>255</v>
      </c>
      <c r="C482" s="434">
        <v>105</v>
      </c>
      <c r="D482" s="434"/>
      <c r="E482" s="430" t="s">
        <v>757</v>
      </c>
      <c r="F482" s="435">
        <v>8</v>
      </c>
      <c r="G482" s="435">
        <v>1400</v>
      </c>
      <c r="H482" s="435">
        <v>10000</v>
      </c>
      <c r="I482" s="431" t="s">
        <v>777</v>
      </c>
      <c r="J482" s="432" t="s">
        <v>786</v>
      </c>
      <c r="K482" s="432">
        <v>-30</v>
      </c>
      <c r="L482" s="432">
        <v>70</v>
      </c>
      <c r="M482" s="432" t="s">
        <v>637</v>
      </c>
      <c r="N482" s="432">
        <v>45</v>
      </c>
      <c r="O482" s="431" t="s">
        <v>168</v>
      </c>
      <c r="P482" s="431" t="s">
        <v>168</v>
      </c>
      <c r="Q482" s="434">
        <f>C482*((100-Discounts!$B$29)/100)</f>
        <v>36.75</v>
      </c>
      <c r="R482" t="str">
        <f>IF(ISNUMBER(Table3[[#This Row],[Thickness]]), "Zenith", "")</f>
        <v>Zenith</v>
      </c>
      <c r="S482">
        <v>15</v>
      </c>
      <c r="T482">
        <v>600</v>
      </c>
    </row>
    <row r="483" spans="1:20" x14ac:dyDescent="0.85">
      <c r="A483" s="429" t="s">
        <v>161</v>
      </c>
      <c r="B483" s="429" t="s">
        <v>255</v>
      </c>
      <c r="C483" s="430">
        <v>105</v>
      </c>
      <c r="D483" s="430"/>
      <c r="E483" s="430" t="s">
        <v>757</v>
      </c>
      <c r="F483" s="431">
        <v>8</v>
      </c>
      <c r="G483" s="431">
        <v>2000</v>
      </c>
      <c r="H483" s="431">
        <v>10000</v>
      </c>
      <c r="I483" s="431" t="s">
        <v>777</v>
      </c>
      <c r="J483" s="432" t="s">
        <v>786</v>
      </c>
      <c r="K483" s="432">
        <v>-30</v>
      </c>
      <c r="L483" s="432">
        <v>70</v>
      </c>
      <c r="M483" s="432" t="s">
        <v>637</v>
      </c>
      <c r="N483" s="432">
        <v>45</v>
      </c>
      <c r="O483" s="431" t="s">
        <v>168</v>
      </c>
      <c r="P483" s="431" t="s">
        <v>168</v>
      </c>
      <c r="Q483" s="430">
        <f>C483*((100-Discounts!$B$29)/100)</f>
        <v>36.75</v>
      </c>
      <c r="R483" t="str">
        <f>IF(ISNUMBER(Table3[[#This Row],[Thickness]]), "Zenith", "")</f>
        <v>Zenith</v>
      </c>
      <c r="S483">
        <v>15</v>
      </c>
      <c r="T483">
        <v>600</v>
      </c>
    </row>
    <row r="484" spans="1:20" x14ac:dyDescent="0.85">
      <c r="A484" s="433" t="s">
        <v>162</v>
      </c>
      <c r="B484" s="429" t="s">
        <v>255</v>
      </c>
      <c r="C484" s="434">
        <v>130</v>
      </c>
      <c r="D484" s="434"/>
      <c r="E484" s="430" t="s">
        <v>757</v>
      </c>
      <c r="F484" s="435">
        <v>10</v>
      </c>
      <c r="G484" s="435">
        <v>1400</v>
      </c>
      <c r="H484" s="435">
        <v>10000</v>
      </c>
      <c r="I484" s="431" t="s">
        <v>777</v>
      </c>
      <c r="J484" s="432" t="s">
        <v>786</v>
      </c>
      <c r="K484" s="432">
        <v>-30</v>
      </c>
      <c r="L484" s="432">
        <v>70</v>
      </c>
      <c r="M484" s="432" t="s">
        <v>637</v>
      </c>
      <c r="N484" s="432">
        <v>45</v>
      </c>
      <c r="O484" s="431" t="s">
        <v>168</v>
      </c>
      <c r="P484" s="431" t="s">
        <v>168</v>
      </c>
      <c r="Q484" s="434">
        <f>C484*((100-Discounts!$B$29)/100)</f>
        <v>45.5</v>
      </c>
      <c r="R484" t="str">
        <f>IF(ISNUMBER(Table3[[#This Row],[Thickness]]), "Zenith", "")</f>
        <v>Zenith</v>
      </c>
      <c r="S484">
        <v>15</v>
      </c>
      <c r="T484">
        <v>600</v>
      </c>
    </row>
    <row r="485" spans="1:20" x14ac:dyDescent="0.85">
      <c r="A485" s="429" t="s">
        <v>162</v>
      </c>
      <c r="B485" s="429" t="s">
        <v>255</v>
      </c>
      <c r="C485" s="430">
        <v>130</v>
      </c>
      <c r="D485" s="430"/>
      <c r="E485" s="430" t="s">
        <v>757</v>
      </c>
      <c r="F485" s="431">
        <v>10</v>
      </c>
      <c r="G485" s="431">
        <v>1400</v>
      </c>
      <c r="H485" s="431">
        <v>20000</v>
      </c>
      <c r="I485" s="431" t="s">
        <v>777</v>
      </c>
      <c r="J485" s="432" t="s">
        <v>786</v>
      </c>
      <c r="K485" s="432">
        <v>-30</v>
      </c>
      <c r="L485" s="432">
        <v>70</v>
      </c>
      <c r="M485" s="432" t="s">
        <v>637</v>
      </c>
      <c r="N485" s="432">
        <v>45</v>
      </c>
      <c r="O485" s="431" t="s">
        <v>168</v>
      </c>
      <c r="P485" s="431" t="s">
        <v>168</v>
      </c>
      <c r="Q485" s="430">
        <f>C485*((100-Discounts!$B$29)/100)</f>
        <v>45.5</v>
      </c>
      <c r="R485" t="str">
        <f>IF(ISNUMBER(Table3[[#This Row],[Thickness]]), "Zenith", "")</f>
        <v>Zenith</v>
      </c>
      <c r="S485">
        <v>15</v>
      </c>
      <c r="T485">
        <v>600</v>
      </c>
    </row>
    <row r="486" spans="1:20" x14ac:dyDescent="0.85">
      <c r="A486" s="433" t="s">
        <v>162</v>
      </c>
      <c r="B486" s="429" t="s">
        <v>255</v>
      </c>
      <c r="C486" s="434">
        <v>130</v>
      </c>
      <c r="D486" s="434"/>
      <c r="E486" s="430" t="s">
        <v>757</v>
      </c>
      <c r="F486" s="435">
        <v>10</v>
      </c>
      <c r="G486" s="435">
        <v>2000</v>
      </c>
      <c r="H486" s="435">
        <v>10000</v>
      </c>
      <c r="I486" s="431" t="s">
        <v>777</v>
      </c>
      <c r="J486" s="432" t="s">
        <v>786</v>
      </c>
      <c r="K486" s="432">
        <v>-30</v>
      </c>
      <c r="L486" s="432">
        <v>70</v>
      </c>
      <c r="M486" s="432" t="s">
        <v>637</v>
      </c>
      <c r="N486" s="432">
        <v>45</v>
      </c>
      <c r="O486" s="431" t="s">
        <v>168</v>
      </c>
      <c r="P486" s="431" t="s">
        <v>168</v>
      </c>
      <c r="Q486" s="434">
        <f>C486*((100-Discounts!$B$29)/100)</f>
        <v>45.5</v>
      </c>
      <c r="R486" t="str">
        <f>IF(ISNUMBER(Table3[[#This Row],[Thickness]]), "Zenith", "")</f>
        <v>Zenith</v>
      </c>
      <c r="S486">
        <v>15</v>
      </c>
      <c r="T486">
        <v>600</v>
      </c>
    </row>
    <row r="487" spans="1:20" x14ac:dyDescent="0.85">
      <c r="A487" s="429" t="s">
        <v>162</v>
      </c>
      <c r="B487" s="429" t="s">
        <v>255</v>
      </c>
      <c r="C487" s="430">
        <v>130</v>
      </c>
      <c r="D487" s="430"/>
      <c r="E487" s="430" t="s">
        <v>757</v>
      </c>
      <c r="F487" s="431">
        <v>10</v>
      </c>
      <c r="G487" s="431">
        <v>2000</v>
      </c>
      <c r="H487" s="431">
        <v>20000</v>
      </c>
      <c r="I487" s="431" t="s">
        <v>777</v>
      </c>
      <c r="J487" s="432" t="s">
        <v>786</v>
      </c>
      <c r="K487" s="432">
        <v>-30</v>
      </c>
      <c r="L487" s="432">
        <v>70</v>
      </c>
      <c r="M487" s="432" t="s">
        <v>637</v>
      </c>
      <c r="N487" s="432">
        <v>45</v>
      </c>
      <c r="O487" s="431" t="s">
        <v>168</v>
      </c>
      <c r="P487" s="431" t="s">
        <v>168</v>
      </c>
      <c r="Q487" s="430">
        <f>C487*((100-Discounts!$B$29)/100)</f>
        <v>45.5</v>
      </c>
      <c r="R487" t="str">
        <f>IF(ISNUMBER(Table3[[#This Row],[Thickness]]), "Zenith", "")</f>
        <v>Zenith</v>
      </c>
      <c r="S487">
        <v>15</v>
      </c>
      <c r="T487">
        <v>600</v>
      </c>
    </row>
    <row r="488" spans="1:20" x14ac:dyDescent="0.85">
      <c r="A488" s="433" t="s">
        <v>198</v>
      </c>
      <c r="B488" s="429" t="s">
        <v>255</v>
      </c>
      <c r="C488" s="434">
        <v>155</v>
      </c>
      <c r="D488" s="434"/>
      <c r="E488" s="430" t="s">
        <v>757</v>
      </c>
      <c r="F488" s="435">
        <v>12</v>
      </c>
      <c r="G488" s="435">
        <v>1400</v>
      </c>
      <c r="H488" s="435">
        <v>5000</v>
      </c>
      <c r="I488" s="431" t="s">
        <v>777</v>
      </c>
      <c r="J488" s="432" t="s">
        <v>786</v>
      </c>
      <c r="K488" s="432">
        <v>-30</v>
      </c>
      <c r="L488" s="432">
        <v>70</v>
      </c>
      <c r="M488" s="432" t="s">
        <v>637</v>
      </c>
      <c r="N488" s="432">
        <v>45</v>
      </c>
      <c r="O488" s="431" t="s">
        <v>168</v>
      </c>
      <c r="P488" s="431" t="s">
        <v>168</v>
      </c>
      <c r="Q488" s="434">
        <f>C488*((100-Discounts!$B$29)/100)</f>
        <v>54.25</v>
      </c>
      <c r="R488" t="str">
        <f>IF(ISNUMBER(Table3[[#This Row],[Thickness]]), "Zenith", "")</f>
        <v>Zenith</v>
      </c>
      <c r="S488">
        <v>15</v>
      </c>
      <c r="T488">
        <v>600</v>
      </c>
    </row>
    <row r="489" spans="1:20" x14ac:dyDescent="0.85">
      <c r="A489" s="429" t="s">
        <v>198</v>
      </c>
      <c r="B489" s="429" t="s">
        <v>255</v>
      </c>
      <c r="C489" s="430">
        <v>155</v>
      </c>
      <c r="D489" s="430"/>
      <c r="E489" s="430" t="s">
        <v>757</v>
      </c>
      <c r="F489" s="431">
        <v>12</v>
      </c>
      <c r="G489" s="431">
        <v>2000</v>
      </c>
      <c r="H489" s="431">
        <v>10000</v>
      </c>
      <c r="I489" s="431" t="s">
        <v>777</v>
      </c>
      <c r="J489" s="432" t="s">
        <v>786</v>
      </c>
      <c r="K489" s="432">
        <v>-30</v>
      </c>
      <c r="L489" s="432">
        <v>70</v>
      </c>
      <c r="M489" s="432" t="s">
        <v>637</v>
      </c>
      <c r="N489" s="432">
        <v>45</v>
      </c>
      <c r="O489" s="431" t="s">
        <v>168</v>
      </c>
      <c r="P489" s="431" t="s">
        <v>168</v>
      </c>
      <c r="Q489" s="430">
        <f>C489*((100-Discounts!$B$29)/100)</f>
        <v>54.25</v>
      </c>
      <c r="R489" t="str">
        <f>IF(ISNUMBER(Table3[[#This Row],[Thickness]]), "Zenith", "")</f>
        <v>Zenith</v>
      </c>
      <c r="S489">
        <v>15</v>
      </c>
      <c r="T489">
        <v>600</v>
      </c>
    </row>
    <row r="490" spans="1:20" x14ac:dyDescent="0.85">
      <c r="A490" s="433" t="s">
        <v>163</v>
      </c>
      <c r="B490" s="429" t="s">
        <v>255</v>
      </c>
      <c r="C490" s="434">
        <v>192</v>
      </c>
      <c r="D490" s="434"/>
      <c r="E490" s="430" t="s">
        <v>757</v>
      </c>
      <c r="F490" s="435">
        <v>15</v>
      </c>
      <c r="G490" s="435">
        <v>1400</v>
      </c>
      <c r="H490" s="435">
        <v>10000</v>
      </c>
      <c r="I490" s="431" t="s">
        <v>777</v>
      </c>
      <c r="J490" s="432" t="s">
        <v>786</v>
      </c>
      <c r="K490" s="432">
        <v>-30</v>
      </c>
      <c r="L490" s="432">
        <v>70</v>
      </c>
      <c r="M490" s="432" t="s">
        <v>637</v>
      </c>
      <c r="N490" s="432">
        <v>45</v>
      </c>
      <c r="O490" s="431" t="s">
        <v>168</v>
      </c>
      <c r="P490" s="431" t="s">
        <v>168</v>
      </c>
      <c r="Q490" s="434">
        <f>C490*((100-Discounts!$B$29)/100)</f>
        <v>67.199999999999989</v>
      </c>
      <c r="R490" t="str">
        <f>IF(ISNUMBER(Table3[[#This Row],[Thickness]]), "Zenith", "")</f>
        <v>Zenith</v>
      </c>
      <c r="S490">
        <v>15</v>
      </c>
      <c r="T490">
        <v>600</v>
      </c>
    </row>
    <row r="491" spans="1:20" x14ac:dyDescent="0.85">
      <c r="A491" s="429" t="s">
        <v>163</v>
      </c>
      <c r="B491" s="429" t="s">
        <v>255</v>
      </c>
      <c r="C491" s="430">
        <v>192</v>
      </c>
      <c r="D491" s="430"/>
      <c r="E491" s="430" t="s">
        <v>757</v>
      </c>
      <c r="F491" s="431">
        <v>15</v>
      </c>
      <c r="G491" s="431">
        <v>2000</v>
      </c>
      <c r="H491" s="431">
        <v>10000</v>
      </c>
      <c r="I491" s="431" t="s">
        <v>777</v>
      </c>
      <c r="J491" s="432" t="s">
        <v>786</v>
      </c>
      <c r="K491" s="432">
        <v>-30</v>
      </c>
      <c r="L491" s="432">
        <v>70</v>
      </c>
      <c r="M491" s="432" t="s">
        <v>637</v>
      </c>
      <c r="N491" s="432">
        <v>45</v>
      </c>
      <c r="O491" s="431" t="s">
        <v>168</v>
      </c>
      <c r="P491" s="431" t="s">
        <v>168</v>
      </c>
      <c r="Q491" s="430">
        <f>C491*((100-Discounts!$B$29)/100)</f>
        <v>67.199999999999989</v>
      </c>
      <c r="R491" t="str">
        <f>IF(ISNUMBER(Table3[[#This Row],[Thickness]]), "Zenith", "")</f>
        <v>Zenith</v>
      </c>
      <c r="S491">
        <v>15</v>
      </c>
      <c r="T491">
        <v>600</v>
      </c>
    </row>
    <row r="492" spans="1:20" x14ac:dyDescent="0.85">
      <c r="A492" s="433" t="s">
        <v>164</v>
      </c>
      <c r="B492" s="429" t="s">
        <v>255</v>
      </c>
      <c r="C492" s="434">
        <v>252</v>
      </c>
      <c r="D492" s="434"/>
      <c r="E492" s="430" t="s">
        <v>757</v>
      </c>
      <c r="F492" s="435">
        <v>20</v>
      </c>
      <c r="G492" s="435">
        <v>1400</v>
      </c>
      <c r="H492" s="435">
        <v>10000</v>
      </c>
      <c r="I492" s="431" t="s">
        <v>777</v>
      </c>
      <c r="J492" s="432" t="s">
        <v>786</v>
      </c>
      <c r="K492" s="432">
        <v>-30</v>
      </c>
      <c r="L492" s="432">
        <v>70</v>
      </c>
      <c r="M492" s="432" t="s">
        <v>637</v>
      </c>
      <c r="N492" s="432">
        <v>45</v>
      </c>
      <c r="O492" s="431" t="s">
        <v>168</v>
      </c>
      <c r="P492" s="431" t="s">
        <v>168</v>
      </c>
      <c r="Q492" s="434">
        <f>C492*((100-Discounts!$B$29)/100)</f>
        <v>88.199999999999989</v>
      </c>
      <c r="R492" t="str">
        <f>IF(ISNUMBER(Table3[[#This Row],[Thickness]]), "Zenith", "")</f>
        <v>Zenith</v>
      </c>
      <c r="S492">
        <v>15</v>
      </c>
      <c r="T492">
        <v>600</v>
      </c>
    </row>
    <row r="493" spans="1:20" x14ac:dyDescent="0.85">
      <c r="A493" s="429" t="s">
        <v>164</v>
      </c>
      <c r="B493" s="429" t="s">
        <v>255</v>
      </c>
      <c r="C493" s="430">
        <v>252</v>
      </c>
      <c r="D493" s="430"/>
      <c r="E493" s="430" t="s">
        <v>757</v>
      </c>
      <c r="F493" s="431">
        <v>20</v>
      </c>
      <c r="G493" s="431">
        <v>2000</v>
      </c>
      <c r="H493" s="431">
        <v>10000</v>
      </c>
      <c r="I493" s="431" t="s">
        <v>777</v>
      </c>
      <c r="J493" s="432" t="s">
        <v>786</v>
      </c>
      <c r="K493" s="432">
        <v>-30</v>
      </c>
      <c r="L493" s="432">
        <v>70</v>
      </c>
      <c r="M493" s="432" t="s">
        <v>637</v>
      </c>
      <c r="N493" s="432">
        <v>45</v>
      </c>
      <c r="O493" s="431" t="s">
        <v>168</v>
      </c>
      <c r="P493" s="431" t="s">
        <v>168</v>
      </c>
      <c r="Q493" s="430">
        <f>C493*((100-Discounts!$B$29)/100)</f>
        <v>88.199999999999989</v>
      </c>
      <c r="R493" t="str">
        <f>IF(ISNUMBER(Table3[[#This Row],[Thickness]]), "Zenith", "")</f>
        <v>Zenith</v>
      </c>
      <c r="S493">
        <v>15</v>
      </c>
      <c r="T493">
        <v>600</v>
      </c>
    </row>
    <row r="494" spans="1:20" x14ac:dyDescent="0.85">
      <c r="A494" s="433" t="s">
        <v>316</v>
      </c>
      <c r="B494" s="429" t="s">
        <v>255</v>
      </c>
      <c r="C494" s="434">
        <v>311</v>
      </c>
      <c r="D494" s="434"/>
      <c r="E494" s="430" t="s">
        <v>757</v>
      </c>
      <c r="F494" s="435">
        <v>25</v>
      </c>
      <c r="G494" s="435">
        <v>2000</v>
      </c>
      <c r="H494" s="435">
        <v>10000</v>
      </c>
      <c r="I494" s="431" t="s">
        <v>777</v>
      </c>
      <c r="J494" s="432" t="s">
        <v>786</v>
      </c>
      <c r="K494" s="432">
        <v>-30</v>
      </c>
      <c r="L494" s="432">
        <v>70</v>
      </c>
      <c r="M494" s="432" t="s">
        <v>637</v>
      </c>
      <c r="N494" s="432">
        <v>45</v>
      </c>
      <c r="O494" s="431" t="s">
        <v>168</v>
      </c>
      <c r="P494" s="431" t="s">
        <v>168</v>
      </c>
      <c r="Q494" s="434">
        <f>C494*((100-Discounts!$B$29)/100)</f>
        <v>108.85</v>
      </c>
      <c r="R494" t="str">
        <f>IF(ISNUMBER(Table3[[#This Row],[Thickness]]), "Zenith", "")</f>
        <v>Zenith</v>
      </c>
      <c r="S494">
        <v>15</v>
      </c>
      <c r="T494">
        <v>600</v>
      </c>
    </row>
    <row r="495" spans="1:20" ht="27" thickBot="1" x14ac:dyDescent="0.9">
      <c r="A495" s="381"/>
      <c r="B495" s="382"/>
      <c r="C495" s="383"/>
      <c r="D495" s="383"/>
      <c r="E495" s="383"/>
      <c r="F495" s="384" t="s">
        <v>256</v>
      </c>
      <c r="G495" s="384">
        <v>0</v>
      </c>
      <c r="H495" s="331">
        <v>0</v>
      </c>
      <c r="I495" s="217" t="s">
        <v>777</v>
      </c>
      <c r="J495" t="s">
        <v>786</v>
      </c>
      <c r="M495" s="352"/>
      <c r="N495" s="349"/>
      <c r="O495" s="217" t="s">
        <v>168</v>
      </c>
      <c r="P495" s="385" t="s">
        <v>168</v>
      </c>
      <c r="Q495" s="386" t="s">
        <v>323</v>
      </c>
      <c r="R495" t="str">
        <f>IF(ISNUMBER(Table3[[#This Row],[Thickness]]), "Zenith", "")</f>
        <v/>
      </c>
    </row>
    <row r="496" spans="1:20" ht="54" thickTop="1" thickBot="1" x14ac:dyDescent="0.9">
      <c r="A496" s="190" t="s">
        <v>322</v>
      </c>
      <c r="B496" s="303"/>
      <c r="C496" s="263" t="s">
        <v>179</v>
      </c>
      <c r="D496" s="315"/>
      <c r="E496" s="315"/>
      <c r="F496" s="261" t="s">
        <v>320</v>
      </c>
      <c r="G496" s="261" t="e">
        <v>#VALUE!</v>
      </c>
      <c r="H496" s="262" t="e">
        <v>#VALUE!</v>
      </c>
      <c r="I496" s="217" t="s">
        <v>777</v>
      </c>
      <c r="J496" t="s">
        <v>786</v>
      </c>
      <c r="M496" s="231"/>
      <c r="N496" s="233"/>
      <c r="O496" s="235" t="s">
        <v>168</v>
      </c>
      <c r="P496" s="235" t="s">
        <v>168</v>
      </c>
      <c r="Q496" s="264" t="s">
        <v>199</v>
      </c>
      <c r="R496" t="str">
        <f>IF(ISNUMBER(Table3[[#This Row],[Thickness]]), "Zenith", "")</f>
        <v/>
      </c>
    </row>
    <row r="497" spans="1:20" ht="27" thickTop="1" x14ac:dyDescent="0.85">
      <c r="A497" s="429" t="s">
        <v>419</v>
      </c>
      <c r="B497" s="429" t="s">
        <v>256</v>
      </c>
      <c r="C497" s="430">
        <v>55</v>
      </c>
      <c r="D497" s="430"/>
      <c r="E497" s="430" t="s">
        <v>757</v>
      </c>
      <c r="F497" s="431">
        <v>4</v>
      </c>
      <c r="G497" s="431">
        <v>1400</v>
      </c>
      <c r="H497" s="431">
        <v>10000</v>
      </c>
      <c r="I497" s="431" t="s">
        <v>777</v>
      </c>
      <c r="J497" s="432" t="s">
        <v>786</v>
      </c>
      <c r="K497" s="432">
        <v>-25</v>
      </c>
      <c r="L497" s="432">
        <v>70</v>
      </c>
      <c r="M497" s="432" t="s">
        <v>577</v>
      </c>
      <c r="N497" s="432">
        <v>40</v>
      </c>
      <c r="O497" s="431" t="s">
        <v>168</v>
      </c>
      <c r="P497" s="431" t="s">
        <v>168</v>
      </c>
      <c r="Q497" s="430">
        <f>C497*((100-Discounts!$B$30)/100)</f>
        <v>19.25</v>
      </c>
      <c r="R497" t="str">
        <f>IF(ISNUMBER(Table3[[#This Row],[Thickness]]), "Zenith", "")</f>
        <v>Zenith</v>
      </c>
      <c r="S497">
        <v>16</v>
      </c>
      <c r="T497">
        <v>600</v>
      </c>
    </row>
    <row r="498" spans="1:20" x14ac:dyDescent="0.85">
      <c r="A498" s="433" t="s">
        <v>420</v>
      </c>
      <c r="B498" s="429" t="s">
        <v>256</v>
      </c>
      <c r="C498" s="434">
        <v>80</v>
      </c>
      <c r="D498" s="434"/>
      <c r="E498" s="430" t="s">
        <v>757</v>
      </c>
      <c r="F498" s="435">
        <v>6</v>
      </c>
      <c r="G498" s="435">
        <v>1400</v>
      </c>
      <c r="H498" s="435">
        <v>10000</v>
      </c>
      <c r="I498" s="431" t="s">
        <v>777</v>
      </c>
      <c r="J498" s="432" t="s">
        <v>786</v>
      </c>
      <c r="K498" s="432">
        <v>-25</v>
      </c>
      <c r="L498" s="432">
        <v>70</v>
      </c>
      <c r="M498" s="432" t="s">
        <v>577</v>
      </c>
      <c r="N498" s="432">
        <v>40</v>
      </c>
      <c r="O498" s="431" t="s">
        <v>168</v>
      </c>
      <c r="P498" s="431" t="s">
        <v>168</v>
      </c>
      <c r="Q498" s="434">
        <f>C498*((100-Discounts!$B$30)/100)</f>
        <v>28</v>
      </c>
      <c r="R498" t="str">
        <f>IF(ISNUMBER(Table3[[#This Row],[Thickness]]), "Zenith", "")</f>
        <v>Zenith</v>
      </c>
      <c r="S498">
        <v>16</v>
      </c>
      <c r="T498">
        <v>600</v>
      </c>
    </row>
    <row r="499" spans="1:20" x14ac:dyDescent="0.85">
      <c r="A499" s="429" t="s">
        <v>421</v>
      </c>
      <c r="B499" s="429" t="s">
        <v>256</v>
      </c>
      <c r="C499" s="430">
        <v>107</v>
      </c>
      <c r="D499" s="430"/>
      <c r="E499" s="430" t="s">
        <v>757</v>
      </c>
      <c r="F499" s="431">
        <v>8</v>
      </c>
      <c r="G499" s="431">
        <v>1400</v>
      </c>
      <c r="H499" s="431">
        <v>10000</v>
      </c>
      <c r="I499" s="431" t="s">
        <v>777</v>
      </c>
      <c r="J499" s="432" t="s">
        <v>786</v>
      </c>
      <c r="K499" s="432">
        <v>-25</v>
      </c>
      <c r="L499" s="432">
        <v>70</v>
      </c>
      <c r="M499" s="432" t="s">
        <v>577</v>
      </c>
      <c r="N499" s="432">
        <v>40</v>
      </c>
      <c r="O499" s="431" t="s">
        <v>168</v>
      </c>
      <c r="P499" s="431" t="s">
        <v>168</v>
      </c>
      <c r="Q499" s="430">
        <f>C499*((100-Discounts!$B$30)/100)</f>
        <v>37.449999999999996</v>
      </c>
      <c r="R499" t="str">
        <f>IF(ISNUMBER(Table3[[#This Row],[Thickness]]), "Zenith", "")</f>
        <v>Zenith</v>
      </c>
      <c r="S499">
        <v>16</v>
      </c>
      <c r="T499">
        <v>600</v>
      </c>
    </row>
    <row r="500" spans="1:20" x14ac:dyDescent="0.85">
      <c r="A500" s="433" t="s">
        <v>422</v>
      </c>
      <c r="B500" s="429" t="s">
        <v>256</v>
      </c>
      <c r="C500" s="434">
        <v>128</v>
      </c>
      <c r="D500" s="434"/>
      <c r="E500" s="430" t="s">
        <v>757</v>
      </c>
      <c r="F500" s="435">
        <v>10</v>
      </c>
      <c r="G500" s="435">
        <v>1400</v>
      </c>
      <c r="H500" s="435">
        <v>10000</v>
      </c>
      <c r="I500" s="431" t="s">
        <v>777</v>
      </c>
      <c r="J500" s="432" t="s">
        <v>786</v>
      </c>
      <c r="K500" s="432">
        <v>-25</v>
      </c>
      <c r="L500" s="432">
        <v>70</v>
      </c>
      <c r="M500" s="432" t="s">
        <v>577</v>
      </c>
      <c r="N500" s="432">
        <v>40</v>
      </c>
      <c r="O500" s="431" t="s">
        <v>168</v>
      </c>
      <c r="P500" s="431" t="s">
        <v>168</v>
      </c>
      <c r="Q500" s="434">
        <f>C500*((100-Discounts!$B$30)/100)</f>
        <v>44.8</v>
      </c>
      <c r="R500" t="str">
        <f>IF(ISNUMBER(Table3[[#This Row],[Thickness]]), "Zenith", "")</f>
        <v>Zenith</v>
      </c>
      <c r="S500">
        <v>16</v>
      </c>
      <c r="T500">
        <v>600</v>
      </c>
    </row>
    <row r="501" spans="1:20" x14ac:dyDescent="0.85">
      <c r="A501" s="429" t="s">
        <v>423</v>
      </c>
      <c r="B501" s="429" t="s">
        <v>256</v>
      </c>
      <c r="C501" s="430">
        <v>190</v>
      </c>
      <c r="D501" s="430"/>
      <c r="E501" s="430" t="s">
        <v>757</v>
      </c>
      <c r="F501" s="431">
        <v>15</v>
      </c>
      <c r="G501" s="431">
        <v>1400</v>
      </c>
      <c r="H501" s="431">
        <v>10000</v>
      </c>
      <c r="I501" s="431" t="s">
        <v>777</v>
      </c>
      <c r="J501" s="432" t="s">
        <v>786</v>
      </c>
      <c r="K501" s="432">
        <v>-25</v>
      </c>
      <c r="L501" s="432">
        <v>70</v>
      </c>
      <c r="M501" s="432" t="s">
        <v>577</v>
      </c>
      <c r="N501" s="432">
        <v>40</v>
      </c>
      <c r="O501" s="431" t="s">
        <v>168</v>
      </c>
      <c r="P501" s="431" t="s">
        <v>168</v>
      </c>
      <c r="Q501" s="430">
        <f>C501*((100-Discounts!$B$30)/100)</f>
        <v>66.5</v>
      </c>
      <c r="R501" t="str">
        <f>IF(ISNUMBER(Table3[[#This Row],[Thickness]]), "Zenith", "")</f>
        <v>Zenith</v>
      </c>
      <c r="S501">
        <v>16</v>
      </c>
      <c r="T501">
        <v>600</v>
      </c>
    </row>
    <row r="502" spans="1:20" x14ac:dyDescent="0.85">
      <c r="A502" s="433" t="s">
        <v>424</v>
      </c>
      <c r="B502" s="429" t="s">
        <v>256</v>
      </c>
      <c r="C502" s="434">
        <v>250</v>
      </c>
      <c r="D502" s="434"/>
      <c r="E502" s="430" t="s">
        <v>757</v>
      </c>
      <c r="F502" s="435">
        <v>20</v>
      </c>
      <c r="G502" s="435">
        <v>1400</v>
      </c>
      <c r="H502" s="435">
        <v>10000</v>
      </c>
      <c r="I502" s="431" t="s">
        <v>777</v>
      </c>
      <c r="J502" s="432" t="s">
        <v>786</v>
      </c>
      <c r="K502" s="432">
        <v>-25</v>
      </c>
      <c r="L502" s="432">
        <v>70</v>
      </c>
      <c r="M502" s="432" t="s">
        <v>577</v>
      </c>
      <c r="N502" s="432">
        <v>40</v>
      </c>
      <c r="O502" s="431" t="s">
        <v>168</v>
      </c>
      <c r="P502" s="431" t="s">
        <v>168</v>
      </c>
      <c r="Q502" s="434">
        <f>C502*((100-Discounts!$B$30)/100)</f>
        <v>87.5</v>
      </c>
      <c r="R502" t="str">
        <f>IF(ISNUMBER(Table3[[#This Row],[Thickness]]), "Zenith", "")</f>
        <v>Zenith</v>
      </c>
      <c r="S502">
        <v>16</v>
      </c>
      <c r="T502">
        <v>600</v>
      </c>
    </row>
    <row r="503" spans="1:20" ht="27" thickBot="1" x14ac:dyDescent="0.9">
      <c r="A503" s="381"/>
      <c r="B503" s="382"/>
      <c r="C503" s="383"/>
      <c r="D503" s="383"/>
      <c r="E503" s="383"/>
      <c r="F503" s="384" t="s">
        <v>733</v>
      </c>
      <c r="G503" s="384">
        <v>0</v>
      </c>
      <c r="H503" s="331">
        <v>0</v>
      </c>
      <c r="I503" s="217" t="s">
        <v>777</v>
      </c>
      <c r="J503" t="s">
        <v>786</v>
      </c>
      <c r="M503" s="352"/>
      <c r="N503" s="349"/>
      <c r="O503" s="217" t="s">
        <v>168</v>
      </c>
      <c r="P503" s="385" t="s">
        <v>168</v>
      </c>
      <c r="Q503" s="386" t="s">
        <v>323</v>
      </c>
      <c r="R503" t="str">
        <f>IF(ISNUMBER(Table3[[#This Row],[Thickness]]), "Zenith", "")</f>
        <v/>
      </c>
    </row>
    <row r="504" spans="1:20" ht="27" thickTop="1" x14ac:dyDescent="0.85">
      <c r="A504" s="429" t="s">
        <v>734</v>
      </c>
      <c r="B504" s="429" t="s">
        <v>733</v>
      </c>
      <c r="C504" s="430">
        <v>34</v>
      </c>
      <c r="D504" s="430"/>
      <c r="E504" s="430" t="s">
        <v>757</v>
      </c>
      <c r="F504" s="431">
        <v>3</v>
      </c>
      <c r="G504" s="431">
        <v>2000</v>
      </c>
      <c r="H504" s="431">
        <v>10000</v>
      </c>
      <c r="I504" s="431" t="s">
        <v>777</v>
      </c>
      <c r="J504" s="432" t="s">
        <v>786</v>
      </c>
      <c r="K504" s="432">
        <v>-30</v>
      </c>
      <c r="L504" s="432">
        <v>70</v>
      </c>
      <c r="M504" s="432" t="s">
        <v>577</v>
      </c>
      <c r="N504" s="432">
        <v>60</v>
      </c>
      <c r="O504" s="431" t="s">
        <v>168</v>
      </c>
      <c r="P504" s="431" t="s">
        <v>168</v>
      </c>
      <c r="Q504" s="430">
        <f>C504*((100-Discounts!$B$31)/100)</f>
        <v>11.899999999999999</v>
      </c>
      <c r="R504" t="str">
        <f>IF(ISNUMBER(Table3[[#This Row],[Thickness]]), "Zenith", "")</f>
        <v>Zenith</v>
      </c>
      <c r="S504">
        <v>15</v>
      </c>
      <c r="T504">
        <v>450</v>
      </c>
    </row>
    <row r="505" spans="1:20" x14ac:dyDescent="0.85">
      <c r="A505" s="433" t="s">
        <v>735</v>
      </c>
      <c r="B505" s="429" t="s">
        <v>733</v>
      </c>
      <c r="C505" s="434">
        <v>45</v>
      </c>
      <c r="D505" s="434"/>
      <c r="E505" s="430" t="s">
        <v>757</v>
      </c>
      <c r="F505" s="435">
        <v>4</v>
      </c>
      <c r="G505" s="435">
        <v>2000</v>
      </c>
      <c r="H505" s="435">
        <v>10000</v>
      </c>
      <c r="I505" s="431" t="s">
        <v>777</v>
      </c>
      <c r="J505" s="432" t="s">
        <v>786</v>
      </c>
      <c r="K505" s="432">
        <v>-30</v>
      </c>
      <c r="L505" s="432">
        <v>70</v>
      </c>
      <c r="M505" s="432" t="s">
        <v>577</v>
      </c>
      <c r="N505" s="432">
        <v>60</v>
      </c>
      <c r="O505" s="431" t="s">
        <v>168</v>
      </c>
      <c r="P505" s="431" t="s">
        <v>168</v>
      </c>
      <c r="Q505" s="434">
        <f>C505*((100-Discounts!$B$31)/100)</f>
        <v>15.749999999999998</v>
      </c>
      <c r="R505" t="str">
        <f>IF(ISNUMBER(Table3[[#This Row],[Thickness]]), "Zenith", "")</f>
        <v>Zenith</v>
      </c>
      <c r="S505">
        <v>15</v>
      </c>
      <c r="T505">
        <v>450</v>
      </c>
    </row>
    <row r="506" spans="1:20" x14ac:dyDescent="0.85">
      <c r="A506" s="429" t="s">
        <v>736</v>
      </c>
      <c r="B506" s="429" t="s">
        <v>733</v>
      </c>
      <c r="C506" s="430">
        <v>57</v>
      </c>
      <c r="D506" s="430"/>
      <c r="E506" s="430" t="s">
        <v>757</v>
      </c>
      <c r="F506" s="431">
        <v>5</v>
      </c>
      <c r="G506" s="431">
        <v>2000</v>
      </c>
      <c r="H506" s="431">
        <v>10000</v>
      </c>
      <c r="I506" s="431" t="s">
        <v>777</v>
      </c>
      <c r="J506" s="432" t="s">
        <v>786</v>
      </c>
      <c r="K506" s="432">
        <v>-30</v>
      </c>
      <c r="L506" s="432">
        <v>70</v>
      </c>
      <c r="M506" s="432" t="s">
        <v>577</v>
      </c>
      <c r="N506" s="432">
        <v>60</v>
      </c>
      <c r="O506" s="431" t="s">
        <v>168</v>
      </c>
      <c r="P506" s="431" t="s">
        <v>168</v>
      </c>
      <c r="Q506" s="430">
        <f>C506*((100-Discounts!$B$31)/100)</f>
        <v>19.95</v>
      </c>
      <c r="R506" t="str">
        <f>IF(ISNUMBER(Table3[[#This Row],[Thickness]]), "Zenith", "")</f>
        <v>Zenith</v>
      </c>
      <c r="S506">
        <v>15</v>
      </c>
      <c r="T506">
        <v>450</v>
      </c>
    </row>
    <row r="507" spans="1:20" x14ac:dyDescent="0.85">
      <c r="A507" s="433" t="s">
        <v>737</v>
      </c>
      <c r="B507" s="429" t="s">
        <v>733</v>
      </c>
      <c r="C507" s="434">
        <v>65</v>
      </c>
      <c r="D507" s="434"/>
      <c r="E507" s="430" t="s">
        <v>757</v>
      </c>
      <c r="F507" s="435">
        <v>6</v>
      </c>
      <c r="G507" s="435">
        <v>2000</v>
      </c>
      <c r="H507" s="435">
        <v>10000</v>
      </c>
      <c r="I507" s="431" t="s">
        <v>777</v>
      </c>
      <c r="J507" s="432" t="s">
        <v>786</v>
      </c>
      <c r="K507" s="432">
        <v>-30</v>
      </c>
      <c r="L507" s="432">
        <v>70</v>
      </c>
      <c r="M507" s="432" t="s">
        <v>577</v>
      </c>
      <c r="N507" s="432">
        <v>60</v>
      </c>
      <c r="O507" s="431" t="s">
        <v>168</v>
      </c>
      <c r="P507" s="431" t="s">
        <v>168</v>
      </c>
      <c r="Q507" s="434">
        <f>C507*((100-Discounts!$B$31)/100)</f>
        <v>22.75</v>
      </c>
      <c r="R507" t="str">
        <f>IF(ISNUMBER(Table3[[#This Row],[Thickness]]), "Zenith", "")</f>
        <v>Zenith</v>
      </c>
      <c r="S507">
        <v>15</v>
      </c>
      <c r="T507">
        <v>450</v>
      </c>
    </row>
    <row r="508" spans="1:20" x14ac:dyDescent="0.85">
      <c r="A508" s="429" t="s">
        <v>738</v>
      </c>
      <c r="B508" s="429" t="s">
        <v>733</v>
      </c>
      <c r="C508" s="430">
        <v>85</v>
      </c>
      <c r="D508" s="430"/>
      <c r="E508" s="430" t="s">
        <v>757</v>
      </c>
      <c r="F508" s="431">
        <v>8</v>
      </c>
      <c r="G508" s="431">
        <v>2000</v>
      </c>
      <c r="H508" s="431">
        <v>10000</v>
      </c>
      <c r="I508" s="431" t="s">
        <v>777</v>
      </c>
      <c r="J508" s="432" t="s">
        <v>786</v>
      </c>
      <c r="K508" s="432">
        <v>-30</v>
      </c>
      <c r="L508" s="432">
        <v>70</v>
      </c>
      <c r="M508" s="432" t="s">
        <v>577</v>
      </c>
      <c r="N508" s="432">
        <v>60</v>
      </c>
      <c r="O508" s="431" t="s">
        <v>168</v>
      </c>
      <c r="P508" s="431" t="s">
        <v>168</v>
      </c>
      <c r="Q508" s="430">
        <f>C508*((100-Discounts!$B$31)/100)</f>
        <v>29.749999999999996</v>
      </c>
      <c r="R508" t="str">
        <f>IF(ISNUMBER(Table3[[#This Row],[Thickness]]), "Zenith", "")</f>
        <v>Zenith</v>
      </c>
      <c r="S508">
        <v>15</v>
      </c>
      <c r="T508">
        <v>450</v>
      </c>
    </row>
    <row r="509" spans="1:20" x14ac:dyDescent="0.85">
      <c r="A509" s="433" t="s">
        <v>739</v>
      </c>
      <c r="B509" s="429" t="s">
        <v>733</v>
      </c>
      <c r="C509" s="434">
        <v>105</v>
      </c>
      <c r="D509" s="434"/>
      <c r="E509" s="430" t="s">
        <v>757</v>
      </c>
      <c r="F509" s="435">
        <v>10</v>
      </c>
      <c r="G509" s="435">
        <v>2000</v>
      </c>
      <c r="H509" s="435">
        <v>10000</v>
      </c>
      <c r="I509" s="431" t="s">
        <v>777</v>
      </c>
      <c r="J509" s="432" t="s">
        <v>786</v>
      </c>
      <c r="K509" s="432">
        <v>-30</v>
      </c>
      <c r="L509" s="432">
        <v>70</v>
      </c>
      <c r="M509" s="432" t="s">
        <v>577</v>
      </c>
      <c r="N509" s="432">
        <v>60</v>
      </c>
      <c r="O509" s="431" t="s">
        <v>168</v>
      </c>
      <c r="P509" s="431" t="s">
        <v>168</v>
      </c>
      <c r="Q509" s="434">
        <f>C509*((100-Discounts!$B$31)/100)</f>
        <v>36.75</v>
      </c>
      <c r="R509" t="str">
        <f>IF(ISNUMBER(Table3[[#This Row],[Thickness]]), "Zenith", "")</f>
        <v>Zenith</v>
      </c>
      <c r="S509">
        <v>15</v>
      </c>
      <c r="T509">
        <v>450</v>
      </c>
    </row>
    <row r="510" spans="1:20" x14ac:dyDescent="0.85">
      <c r="A510" s="429" t="s">
        <v>740</v>
      </c>
      <c r="B510" s="429" t="s">
        <v>733</v>
      </c>
      <c r="C510" s="430">
        <v>125</v>
      </c>
      <c r="D510" s="430"/>
      <c r="E510" s="430" t="s">
        <v>757</v>
      </c>
      <c r="F510" s="431">
        <v>12</v>
      </c>
      <c r="G510" s="431">
        <v>2000</v>
      </c>
      <c r="H510" s="431">
        <v>10000</v>
      </c>
      <c r="I510" s="431" t="s">
        <v>777</v>
      </c>
      <c r="J510" s="432" t="s">
        <v>786</v>
      </c>
      <c r="K510" s="432">
        <v>-30</v>
      </c>
      <c r="L510" s="432">
        <v>70</v>
      </c>
      <c r="M510" s="432" t="s">
        <v>577</v>
      </c>
      <c r="N510" s="432">
        <v>60</v>
      </c>
      <c r="O510" s="431" t="s">
        <v>168</v>
      </c>
      <c r="P510" s="431" t="s">
        <v>168</v>
      </c>
      <c r="Q510" s="430">
        <f>C510*((100-Discounts!$B$31)/100)</f>
        <v>43.75</v>
      </c>
      <c r="R510" t="str">
        <f>IF(ISNUMBER(Table3[[#This Row],[Thickness]]), "Zenith", "")</f>
        <v>Zenith</v>
      </c>
      <c r="S510">
        <v>15</v>
      </c>
      <c r="T510">
        <v>450</v>
      </c>
    </row>
    <row r="511" spans="1:20" x14ac:dyDescent="0.85">
      <c r="A511" s="433" t="s">
        <v>741</v>
      </c>
      <c r="B511" s="429" t="s">
        <v>733</v>
      </c>
      <c r="C511" s="434">
        <v>155</v>
      </c>
      <c r="D511" s="434"/>
      <c r="E511" s="430" t="s">
        <v>757</v>
      </c>
      <c r="F511" s="435">
        <v>15</v>
      </c>
      <c r="G511" s="435">
        <v>2000</v>
      </c>
      <c r="H511" s="435">
        <v>10000</v>
      </c>
      <c r="I511" s="431" t="s">
        <v>777</v>
      </c>
      <c r="J511" s="432" t="s">
        <v>786</v>
      </c>
      <c r="K511" s="432">
        <v>-30</v>
      </c>
      <c r="L511" s="432">
        <v>70</v>
      </c>
      <c r="M511" s="432" t="s">
        <v>577</v>
      </c>
      <c r="N511" s="432">
        <v>60</v>
      </c>
      <c r="O511" s="431" t="s">
        <v>168</v>
      </c>
      <c r="P511" s="431" t="s">
        <v>168</v>
      </c>
      <c r="Q511" s="434">
        <f>C511*((100-Discounts!$B$31)/100)</f>
        <v>54.25</v>
      </c>
      <c r="R511" t="str">
        <f>IF(ISNUMBER(Table3[[#This Row],[Thickness]]), "Zenith", "")</f>
        <v>Zenith</v>
      </c>
      <c r="S511">
        <v>15</v>
      </c>
      <c r="T511">
        <v>450</v>
      </c>
    </row>
    <row r="512" spans="1:20" x14ac:dyDescent="0.85">
      <c r="A512" s="429" t="s">
        <v>742</v>
      </c>
      <c r="B512" s="429" t="s">
        <v>733</v>
      </c>
      <c r="C512" s="430">
        <v>210</v>
      </c>
      <c r="D512" s="430"/>
      <c r="E512" s="430" t="s">
        <v>757</v>
      </c>
      <c r="F512" s="431">
        <v>20</v>
      </c>
      <c r="G512" s="431">
        <v>2000</v>
      </c>
      <c r="H512" s="431">
        <v>10000</v>
      </c>
      <c r="I512" s="431" t="s">
        <v>777</v>
      </c>
      <c r="J512" s="432" t="s">
        <v>786</v>
      </c>
      <c r="K512" s="432">
        <v>-30</v>
      </c>
      <c r="L512" s="432">
        <v>70</v>
      </c>
      <c r="M512" s="432" t="s">
        <v>577</v>
      </c>
      <c r="N512" s="432">
        <v>60</v>
      </c>
      <c r="O512" s="431" t="s">
        <v>168</v>
      </c>
      <c r="P512" s="431" t="s">
        <v>168</v>
      </c>
      <c r="Q512" s="430">
        <f>C512*((100-Discounts!$B$31)/100)</f>
        <v>73.5</v>
      </c>
      <c r="R512" t="str">
        <f>IF(ISNUMBER(Table3[[#This Row],[Thickness]]), "Zenith", "")</f>
        <v>Zenith</v>
      </c>
      <c r="S512">
        <v>15</v>
      </c>
      <c r="T512">
        <v>450</v>
      </c>
    </row>
    <row r="513" spans="1:20" ht="27" thickBot="1" x14ac:dyDescent="0.9">
      <c r="A513" s="381"/>
      <c r="B513" s="382"/>
      <c r="C513" s="383"/>
      <c r="D513" s="383"/>
      <c r="E513" s="383"/>
      <c r="F513" s="384" t="s">
        <v>438</v>
      </c>
      <c r="G513" s="384">
        <v>0</v>
      </c>
      <c r="H513" s="331">
        <v>0</v>
      </c>
      <c r="I513" s="217" t="s">
        <v>777</v>
      </c>
      <c r="J513" t="s">
        <v>786</v>
      </c>
      <c r="M513" s="352"/>
      <c r="N513" s="349"/>
      <c r="O513" s="217" t="s">
        <v>168</v>
      </c>
      <c r="P513" s="385" t="s">
        <v>168</v>
      </c>
      <c r="Q513" s="386" t="s">
        <v>323</v>
      </c>
      <c r="R513" t="str">
        <f>IF(ISNUMBER(Table3[[#This Row],[Thickness]]), "Zenith", "")</f>
        <v/>
      </c>
    </row>
    <row r="514" spans="1:20" ht="27" thickTop="1" x14ac:dyDescent="0.85">
      <c r="A514" s="429" t="s">
        <v>425</v>
      </c>
      <c r="B514" s="429" t="s">
        <v>438</v>
      </c>
      <c r="C514" s="430">
        <v>27</v>
      </c>
      <c r="D514" s="430"/>
      <c r="E514" s="430" t="s">
        <v>757</v>
      </c>
      <c r="F514" s="431">
        <v>3</v>
      </c>
      <c r="G514" s="431">
        <v>1400</v>
      </c>
      <c r="H514" s="431">
        <v>10000</v>
      </c>
      <c r="I514" s="431" t="s">
        <v>777</v>
      </c>
      <c r="J514" s="432" t="s">
        <v>786</v>
      </c>
      <c r="K514" s="432">
        <v>-25</v>
      </c>
      <c r="L514" s="432">
        <v>70</v>
      </c>
      <c r="M514" s="432" t="s">
        <v>577</v>
      </c>
      <c r="N514" s="432">
        <v>40</v>
      </c>
      <c r="O514" s="431" t="s">
        <v>168</v>
      </c>
      <c r="P514" s="431" t="s">
        <v>168</v>
      </c>
      <c r="Q514" s="430">
        <f>C514*((100-Discounts!$B$32)/100)</f>
        <v>9.4499999999999993</v>
      </c>
      <c r="R514" t="str">
        <f>IF(ISNUMBER(Table3[[#This Row],[Thickness]]), "Zenith", "")</f>
        <v>Zenith</v>
      </c>
      <c r="S514">
        <v>12</v>
      </c>
      <c r="T514">
        <v>400</v>
      </c>
    </row>
    <row r="515" spans="1:20" x14ac:dyDescent="0.85">
      <c r="A515" s="433" t="s">
        <v>426</v>
      </c>
      <c r="B515" s="429" t="s">
        <v>438</v>
      </c>
      <c r="C515" s="434">
        <v>36</v>
      </c>
      <c r="D515" s="434"/>
      <c r="E515" s="430" t="s">
        <v>757</v>
      </c>
      <c r="F515" s="435">
        <v>4</v>
      </c>
      <c r="G515" s="435">
        <v>1400</v>
      </c>
      <c r="H515" s="435">
        <v>10000</v>
      </c>
      <c r="I515" s="431" t="s">
        <v>777</v>
      </c>
      <c r="J515" s="432" t="s">
        <v>786</v>
      </c>
      <c r="K515" s="432">
        <v>-25</v>
      </c>
      <c r="L515" s="432">
        <v>70</v>
      </c>
      <c r="M515" s="432" t="s">
        <v>577</v>
      </c>
      <c r="N515" s="432">
        <v>40</v>
      </c>
      <c r="O515" s="431" t="s">
        <v>168</v>
      </c>
      <c r="P515" s="431" t="s">
        <v>168</v>
      </c>
      <c r="Q515" s="434">
        <f>C515*((100-Discounts!$B$32)/100)</f>
        <v>12.6</v>
      </c>
      <c r="R515" t="str">
        <f>IF(ISNUMBER(Table3[[#This Row],[Thickness]]), "Zenith", "")</f>
        <v>Zenith</v>
      </c>
      <c r="S515">
        <v>12</v>
      </c>
      <c r="T515">
        <v>400</v>
      </c>
    </row>
    <row r="516" spans="1:20" x14ac:dyDescent="0.85">
      <c r="A516" s="429" t="s">
        <v>427</v>
      </c>
      <c r="B516" s="429" t="s">
        <v>438</v>
      </c>
      <c r="C516" s="430">
        <v>43</v>
      </c>
      <c r="D516" s="430"/>
      <c r="E516" s="430" t="s">
        <v>757</v>
      </c>
      <c r="F516" s="431">
        <v>5</v>
      </c>
      <c r="G516" s="431">
        <v>1400</v>
      </c>
      <c r="H516" s="431">
        <v>10000</v>
      </c>
      <c r="I516" s="431" t="s">
        <v>777</v>
      </c>
      <c r="J516" s="432" t="s">
        <v>786</v>
      </c>
      <c r="K516" s="432">
        <v>-25</v>
      </c>
      <c r="L516" s="432">
        <v>70</v>
      </c>
      <c r="M516" s="432" t="s">
        <v>577</v>
      </c>
      <c r="N516" s="432">
        <v>40</v>
      </c>
      <c r="O516" s="431" t="s">
        <v>168</v>
      </c>
      <c r="P516" s="431" t="s">
        <v>168</v>
      </c>
      <c r="Q516" s="430">
        <f>C516*((100-Discounts!$B$32)/100)</f>
        <v>15.049999999999999</v>
      </c>
      <c r="R516" t="str">
        <f>IF(ISNUMBER(Table3[[#This Row],[Thickness]]), "Zenith", "")</f>
        <v>Zenith</v>
      </c>
      <c r="S516">
        <v>12</v>
      </c>
      <c r="T516">
        <v>400</v>
      </c>
    </row>
    <row r="517" spans="1:20" x14ac:dyDescent="0.85">
      <c r="A517" s="433" t="s">
        <v>427</v>
      </c>
      <c r="B517" s="429" t="s">
        <v>438</v>
      </c>
      <c r="C517" s="434">
        <v>43</v>
      </c>
      <c r="D517" s="434"/>
      <c r="E517" s="430" t="s">
        <v>757</v>
      </c>
      <c r="F517" s="435">
        <v>5</v>
      </c>
      <c r="G517" s="435">
        <v>2000</v>
      </c>
      <c r="H517" s="435">
        <v>10000</v>
      </c>
      <c r="I517" s="431" t="s">
        <v>777</v>
      </c>
      <c r="J517" s="432" t="s">
        <v>786</v>
      </c>
      <c r="K517" s="432">
        <v>-25</v>
      </c>
      <c r="L517" s="432">
        <v>70</v>
      </c>
      <c r="M517" s="432" t="s">
        <v>577</v>
      </c>
      <c r="N517" s="432">
        <v>40</v>
      </c>
      <c r="O517" s="431" t="s">
        <v>168</v>
      </c>
      <c r="P517" s="431" t="s">
        <v>168</v>
      </c>
      <c r="Q517" s="434">
        <f>C517*((100-Discounts!$B$32)/100)</f>
        <v>15.049999999999999</v>
      </c>
      <c r="R517" t="str">
        <f>IF(ISNUMBER(Table3[[#This Row],[Thickness]]), "Zenith", "")</f>
        <v>Zenith</v>
      </c>
      <c r="S517">
        <v>12</v>
      </c>
      <c r="T517">
        <v>400</v>
      </c>
    </row>
    <row r="518" spans="1:20" x14ac:dyDescent="0.85">
      <c r="A518" s="429" t="s">
        <v>428</v>
      </c>
      <c r="B518" s="429" t="s">
        <v>438</v>
      </c>
      <c r="C518" s="430">
        <v>51</v>
      </c>
      <c r="D518" s="430"/>
      <c r="E518" s="430" t="s">
        <v>757</v>
      </c>
      <c r="F518" s="431">
        <v>6</v>
      </c>
      <c r="G518" s="431">
        <v>1400</v>
      </c>
      <c r="H518" s="431">
        <v>10000</v>
      </c>
      <c r="I518" s="431" t="s">
        <v>777</v>
      </c>
      <c r="J518" s="432" t="s">
        <v>786</v>
      </c>
      <c r="K518" s="432">
        <v>-25</v>
      </c>
      <c r="L518" s="432">
        <v>70</v>
      </c>
      <c r="M518" s="432" t="s">
        <v>577</v>
      </c>
      <c r="N518" s="432">
        <v>40</v>
      </c>
      <c r="O518" s="431" t="s">
        <v>168</v>
      </c>
      <c r="P518" s="431" t="s">
        <v>168</v>
      </c>
      <c r="Q518" s="430">
        <f>C518*((100-Discounts!$B$32)/100)</f>
        <v>17.849999999999998</v>
      </c>
      <c r="R518" t="str">
        <f>IF(ISNUMBER(Table3[[#This Row],[Thickness]]), "Zenith", "")</f>
        <v>Zenith</v>
      </c>
      <c r="S518">
        <v>12</v>
      </c>
      <c r="T518">
        <v>400</v>
      </c>
    </row>
    <row r="519" spans="1:20" x14ac:dyDescent="0.85">
      <c r="A519" s="433" t="s">
        <v>428</v>
      </c>
      <c r="B519" s="429" t="s">
        <v>438</v>
      </c>
      <c r="C519" s="434">
        <v>51</v>
      </c>
      <c r="D519" s="434"/>
      <c r="E519" s="430" t="s">
        <v>757</v>
      </c>
      <c r="F519" s="435">
        <v>6</v>
      </c>
      <c r="G519" s="435">
        <v>2000</v>
      </c>
      <c r="H519" s="435">
        <v>10000</v>
      </c>
      <c r="I519" s="431" t="s">
        <v>777</v>
      </c>
      <c r="J519" s="432" t="s">
        <v>786</v>
      </c>
      <c r="K519" s="432">
        <v>-25</v>
      </c>
      <c r="L519" s="432">
        <v>70</v>
      </c>
      <c r="M519" s="432" t="s">
        <v>577</v>
      </c>
      <c r="N519" s="432">
        <v>40</v>
      </c>
      <c r="O519" s="431" t="s">
        <v>168</v>
      </c>
      <c r="P519" s="431" t="s">
        <v>168</v>
      </c>
      <c r="Q519" s="434">
        <f>C519*((100-Discounts!$B$32)/100)</f>
        <v>17.849999999999998</v>
      </c>
      <c r="R519" t="str">
        <f>IF(ISNUMBER(Table3[[#This Row],[Thickness]]), "Zenith", "")</f>
        <v>Zenith</v>
      </c>
      <c r="S519">
        <v>12</v>
      </c>
      <c r="T519">
        <v>400</v>
      </c>
    </row>
    <row r="520" spans="1:20" x14ac:dyDescent="0.85">
      <c r="A520" s="429" t="s">
        <v>429</v>
      </c>
      <c r="B520" s="429" t="s">
        <v>438</v>
      </c>
      <c r="C520" s="430">
        <v>68</v>
      </c>
      <c r="D520" s="430"/>
      <c r="E520" s="430" t="s">
        <v>757</v>
      </c>
      <c r="F520" s="431">
        <v>8</v>
      </c>
      <c r="G520" s="431">
        <v>1400</v>
      </c>
      <c r="H520" s="431">
        <v>10000</v>
      </c>
      <c r="I520" s="431" t="s">
        <v>777</v>
      </c>
      <c r="J520" s="432" t="s">
        <v>786</v>
      </c>
      <c r="K520" s="432">
        <v>-25</v>
      </c>
      <c r="L520" s="432">
        <v>70</v>
      </c>
      <c r="M520" s="432" t="s">
        <v>577</v>
      </c>
      <c r="N520" s="432">
        <v>40</v>
      </c>
      <c r="O520" s="431" t="s">
        <v>168</v>
      </c>
      <c r="P520" s="431" t="s">
        <v>168</v>
      </c>
      <c r="Q520" s="430">
        <f>C520*((100-Discounts!$B$32)/100)</f>
        <v>23.799999999999997</v>
      </c>
      <c r="R520" t="str">
        <f>IF(ISNUMBER(Table3[[#This Row],[Thickness]]), "Zenith", "")</f>
        <v>Zenith</v>
      </c>
      <c r="S520">
        <v>12</v>
      </c>
      <c r="T520">
        <v>400</v>
      </c>
    </row>
    <row r="521" spans="1:20" x14ac:dyDescent="0.85">
      <c r="A521" s="433" t="s">
        <v>429</v>
      </c>
      <c r="B521" s="429" t="s">
        <v>438</v>
      </c>
      <c r="C521" s="434">
        <v>68</v>
      </c>
      <c r="D521" s="434"/>
      <c r="E521" s="430" t="s">
        <v>757</v>
      </c>
      <c r="F521" s="435">
        <v>8</v>
      </c>
      <c r="G521" s="435">
        <v>2000</v>
      </c>
      <c r="H521" s="435">
        <v>10000</v>
      </c>
      <c r="I521" s="431" t="s">
        <v>777</v>
      </c>
      <c r="J521" s="432" t="s">
        <v>786</v>
      </c>
      <c r="K521" s="432">
        <v>-25</v>
      </c>
      <c r="L521" s="432">
        <v>70</v>
      </c>
      <c r="M521" s="432" t="s">
        <v>577</v>
      </c>
      <c r="N521" s="432">
        <v>40</v>
      </c>
      <c r="O521" s="431" t="s">
        <v>168</v>
      </c>
      <c r="P521" s="431" t="s">
        <v>168</v>
      </c>
      <c r="Q521" s="434">
        <f>C521*((100-Discounts!$B$32)/100)</f>
        <v>23.799999999999997</v>
      </c>
      <c r="R521" t="str">
        <f>IF(ISNUMBER(Table3[[#This Row],[Thickness]]), "Zenith", "")</f>
        <v>Zenith</v>
      </c>
      <c r="S521">
        <v>12</v>
      </c>
      <c r="T521">
        <v>400</v>
      </c>
    </row>
    <row r="522" spans="1:20" x14ac:dyDescent="0.85">
      <c r="A522" s="429" t="s">
        <v>430</v>
      </c>
      <c r="B522" s="429" t="s">
        <v>438</v>
      </c>
      <c r="C522" s="430">
        <v>85</v>
      </c>
      <c r="D522" s="430"/>
      <c r="E522" s="430" t="s">
        <v>757</v>
      </c>
      <c r="F522" s="431">
        <v>10</v>
      </c>
      <c r="G522" s="431">
        <v>1400</v>
      </c>
      <c r="H522" s="431">
        <v>10000</v>
      </c>
      <c r="I522" s="431" t="s">
        <v>777</v>
      </c>
      <c r="J522" s="432" t="s">
        <v>786</v>
      </c>
      <c r="K522" s="432">
        <v>-25</v>
      </c>
      <c r="L522" s="432">
        <v>70</v>
      </c>
      <c r="M522" s="432" t="s">
        <v>577</v>
      </c>
      <c r="N522" s="432">
        <v>40</v>
      </c>
      <c r="O522" s="431" t="s">
        <v>168</v>
      </c>
      <c r="P522" s="431" t="s">
        <v>168</v>
      </c>
      <c r="Q522" s="430">
        <f>C522*((100-Discounts!$B$32)/100)</f>
        <v>29.749999999999996</v>
      </c>
      <c r="R522" t="str">
        <f>IF(ISNUMBER(Table3[[#This Row],[Thickness]]), "Zenith", "")</f>
        <v>Zenith</v>
      </c>
      <c r="S522">
        <v>12</v>
      </c>
      <c r="T522">
        <v>400</v>
      </c>
    </row>
    <row r="523" spans="1:20" x14ac:dyDescent="0.85">
      <c r="A523" s="433" t="s">
        <v>430</v>
      </c>
      <c r="B523" s="429" t="s">
        <v>438</v>
      </c>
      <c r="C523" s="434">
        <v>85</v>
      </c>
      <c r="D523" s="434"/>
      <c r="E523" s="430" t="s">
        <v>757</v>
      </c>
      <c r="F523" s="435">
        <v>10</v>
      </c>
      <c r="G523" s="435">
        <v>2000</v>
      </c>
      <c r="H523" s="435">
        <v>10000</v>
      </c>
      <c r="I523" s="431" t="s">
        <v>777</v>
      </c>
      <c r="J523" s="432" t="s">
        <v>786</v>
      </c>
      <c r="K523" s="432">
        <v>-25</v>
      </c>
      <c r="L523" s="432">
        <v>70</v>
      </c>
      <c r="M523" s="432" t="s">
        <v>577</v>
      </c>
      <c r="N523" s="432">
        <v>40</v>
      </c>
      <c r="O523" s="431" t="s">
        <v>168</v>
      </c>
      <c r="P523" s="431" t="s">
        <v>168</v>
      </c>
      <c r="Q523" s="434">
        <f>C523*((100-Discounts!$B$32)/100)</f>
        <v>29.749999999999996</v>
      </c>
      <c r="R523" t="str">
        <f>IF(ISNUMBER(Table3[[#This Row],[Thickness]]), "Zenith", "")</f>
        <v>Zenith</v>
      </c>
      <c r="S523">
        <v>12</v>
      </c>
      <c r="T523">
        <v>400</v>
      </c>
    </row>
    <row r="524" spans="1:20" x14ac:dyDescent="0.85">
      <c r="A524" s="429" t="s">
        <v>431</v>
      </c>
      <c r="B524" s="429" t="s">
        <v>438</v>
      </c>
      <c r="C524" s="430">
        <v>102</v>
      </c>
      <c r="D524" s="430"/>
      <c r="E524" s="430" t="s">
        <v>757</v>
      </c>
      <c r="F524" s="431">
        <v>12</v>
      </c>
      <c r="G524" s="431">
        <v>1400</v>
      </c>
      <c r="H524" s="431">
        <v>10000</v>
      </c>
      <c r="I524" s="431" t="s">
        <v>777</v>
      </c>
      <c r="J524" s="432" t="s">
        <v>786</v>
      </c>
      <c r="K524" s="432">
        <v>-25</v>
      </c>
      <c r="L524" s="432">
        <v>70</v>
      </c>
      <c r="M524" s="432" t="s">
        <v>577</v>
      </c>
      <c r="N524" s="432">
        <v>40</v>
      </c>
      <c r="O524" s="431" t="s">
        <v>168</v>
      </c>
      <c r="P524" s="431" t="s">
        <v>168</v>
      </c>
      <c r="Q524" s="430">
        <f>C524*((100-Discounts!$B$32)/100)</f>
        <v>35.699999999999996</v>
      </c>
      <c r="R524" t="str">
        <f>IF(ISNUMBER(Table3[[#This Row],[Thickness]]), "Zenith", "")</f>
        <v>Zenith</v>
      </c>
      <c r="S524">
        <v>12</v>
      </c>
      <c r="T524">
        <v>400</v>
      </c>
    </row>
    <row r="525" spans="1:20" x14ac:dyDescent="0.85">
      <c r="A525" s="433" t="s">
        <v>431</v>
      </c>
      <c r="B525" s="429" t="s">
        <v>438</v>
      </c>
      <c r="C525" s="434">
        <v>102</v>
      </c>
      <c r="D525" s="434"/>
      <c r="E525" s="430" t="s">
        <v>757</v>
      </c>
      <c r="F525" s="435">
        <v>12</v>
      </c>
      <c r="G525" s="435">
        <v>2000</v>
      </c>
      <c r="H525" s="435">
        <v>10000</v>
      </c>
      <c r="I525" s="431" t="s">
        <v>777</v>
      </c>
      <c r="J525" s="432" t="s">
        <v>786</v>
      </c>
      <c r="K525" s="432">
        <v>-25</v>
      </c>
      <c r="L525" s="432">
        <v>70</v>
      </c>
      <c r="M525" s="432" t="s">
        <v>577</v>
      </c>
      <c r="N525" s="432">
        <v>40</v>
      </c>
      <c r="O525" s="431" t="s">
        <v>168</v>
      </c>
      <c r="P525" s="431" t="s">
        <v>168</v>
      </c>
      <c r="Q525" s="434">
        <f>C525*((100-Discounts!$B$32)/100)</f>
        <v>35.699999999999996</v>
      </c>
      <c r="R525" t="str">
        <f>IF(ISNUMBER(Table3[[#This Row],[Thickness]]), "Zenith", "")</f>
        <v>Zenith</v>
      </c>
      <c r="S525">
        <v>12</v>
      </c>
      <c r="T525">
        <v>400</v>
      </c>
    </row>
    <row r="526" spans="1:20" x14ac:dyDescent="0.85">
      <c r="A526" s="429" t="s">
        <v>432</v>
      </c>
      <c r="B526" s="429" t="s">
        <v>438</v>
      </c>
      <c r="C526" s="430">
        <v>127</v>
      </c>
      <c r="D526" s="430"/>
      <c r="E526" s="430" t="s">
        <v>757</v>
      </c>
      <c r="F526" s="431">
        <v>15</v>
      </c>
      <c r="G526" s="431">
        <v>1400</v>
      </c>
      <c r="H526" s="431">
        <v>10000</v>
      </c>
      <c r="I526" s="431" t="s">
        <v>777</v>
      </c>
      <c r="J526" s="432" t="s">
        <v>786</v>
      </c>
      <c r="K526" s="432">
        <v>-25</v>
      </c>
      <c r="L526" s="432">
        <v>70</v>
      </c>
      <c r="M526" s="432" t="s">
        <v>577</v>
      </c>
      <c r="N526" s="432">
        <v>40</v>
      </c>
      <c r="O526" s="431" t="s">
        <v>168</v>
      </c>
      <c r="P526" s="431" t="s">
        <v>168</v>
      </c>
      <c r="Q526" s="430">
        <f>C526*((100-Discounts!$B$32)/100)</f>
        <v>44.449999999999996</v>
      </c>
      <c r="R526" t="str">
        <f>IF(ISNUMBER(Table3[[#This Row],[Thickness]]), "Zenith", "")</f>
        <v>Zenith</v>
      </c>
      <c r="S526">
        <v>12</v>
      </c>
      <c r="T526">
        <v>400</v>
      </c>
    </row>
    <row r="527" spans="1:20" x14ac:dyDescent="0.85">
      <c r="A527" s="433" t="s">
        <v>432</v>
      </c>
      <c r="B527" s="429" t="s">
        <v>438</v>
      </c>
      <c r="C527" s="434">
        <v>127</v>
      </c>
      <c r="D527" s="434"/>
      <c r="E527" s="430" t="s">
        <v>757</v>
      </c>
      <c r="F527" s="435">
        <v>15</v>
      </c>
      <c r="G527" s="435">
        <v>2000</v>
      </c>
      <c r="H527" s="435">
        <v>10000</v>
      </c>
      <c r="I527" s="431" t="s">
        <v>777</v>
      </c>
      <c r="J527" s="432" t="s">
        <v>786</v>
      </c>
      <c r="K527" s="432">
        <v>-25</v>
      </c>
      <c r="L527" s="432">
        <v>70</v>
      </c>
      <c r="M527" s="432" t="s">
        <v>577</v>
      </c>
      <c r="N527" s="432">
        <v>40</v>
      </c>
      <c r="O527" s="431" t="s">
        <v>168</v>
      </c>
      <c r="P527" s="431" t="s">
        <v>168</v>
      </c>
      <c r="Q527" s="434">
        <f>C527*((100-Discounts!$B$32)/100)</f>
        <v>44.449999999999996</v>
      </c>
      <c r="R527" t="str">
        <f>IF(ISNUMBER(Table3[[#This Row],[Thickness]]), "Zenith", "")</f>
        <v>Zenith</v>
      </c>
      <c r="S527">
        <v>12</v>
      </c>
      <c r="T527">
        <v>400</v>
      </c>
    </row>
    <row r="528" spans="1:20" x14ac:dyDescent="0.85">
      <c r="A528" s="429" t="s">
        <v>433</v>
      </c>
      <c r="B528" s="429" t="s">
        <v>438</v>
      </c>
      <c r="C528" s="430">
        <v>170</v>
      </c>
      <c r="D528" s="430"/>
      <c r="E528" s="430" t="s">
        <v>757</v>
      </c>
      <c r="F528" s="431">
        <v>20</v>
      </c>
      <c r="G528" s="431">
        <v>1400</v>
      </c>
      <c r="H528" s="431">
        <v>10000</v>
      </c>
      <c r="I528" s="431" t="s">
        <v>777</v>
      </c>
      <c r="J528" s="432" t="s">
        <v>786</v>
      </c>
      <c r="K528" s="432">
        <v>-25</v>
      </c>
      <c r="L528" s="432">
        <v>70</v>
      </c>
      <c r="M528" s="432" t="s">
        <v>577</v>
      </c>
      <c r="N528" s="432">
        <v>40</v>
      </c>
      <c r="O528" s="431" t="s">
        <v>168</v>
      </c>
      <c r="P528" s="431" t="s">
        <v>168</v>
      </c>
      <c r="Q528" s="430">
        <f>C528*((100-Discounts!$B$32)/100)</f>
        <v>59.499999999999993</v>
      </c>
      <c r="R528" t="str">
        <f>IF(ISNUMBER(Table3[[#This Row],[Thickness]]), "Zenith", "")</f>
        <v>Zenith</v>
      </c>
      <c r="S528">
        <v>12</v>
      </c>
      <c r="T528">
        <v>400</v>
      </c>
    </row>
    <row r="529" spans="1:20" x14ac:dyDescent="0.85">
      <c r="A529" s="433" t="s">
        <v>433</v>
      </c>
      <c r="B529" s="429" t="s">
        <v>438</v>
      </c>
      <c r="C529" s="434">
        <v>170</v>
      </c>
      <c r="D529" s="434"/>
      <c r="E529" s="430" t="s">
        <v>757</v>
      </c>
      <c r="F529" s="435">
        <v>20</v>
      </c>
      <c r="G529" s="435">
        <v>2000</v>
      </c>
      <c r="H529" s="435">
        <v>10000</v>
      </c>
      <c r="I529" s="431" t="s">
        <v>777</v>
      </c>
      <c r="J529" s="432" t="s">
        <v>786</v>
      </c>
      <c r="K529" s="432">
        <v>-25</v>
      </c>
      <c r="L529" s="432">
        <v>70</v>
      </c>
      <c r="M529" s="432" t="s">
        <v>577</v>
      </c>
      <c r="N529" s="432">
        <v>40</v>
      </c>
      <c r="O529" s="431" t="s">
        <v>168</v>
      </c>
      <c r="P529" s="431" t="s">
        <v>168</v>
      </c>
      <c r="Q529" s="434">
        <f>C529*((100-Discounts!$B$32)/100)</f>
        <v>59.499999999999993</v>
      </c>
      <c r="R529" t="str">
        <f>IF(ISNUMBER(Table3[[#This Row],[Thickness]]), "Zenith", "")</f>
        <v>Zenith</v>
      </c>
      <c r="S529">
        <v>12</v>
      </c>
      <c r="T529">
        <v>400</v>
      </c>
    </row>
    <row r="530" spans="1:20" x14ac:dyDescent="0.85">
      <c r="A530" s="429" t="s">
        <v>434</v>
      </c>
      <c r="B530" s="429" t="s">
        <v>438</v>
      </c>
      <c r="C530" s="430">
        <v>212</v>
      </c>
      <c r="D530" s="430"/>
      <c r="E530" s="430" t="s">
        <v>757</v>
      </c>
      <c r="F530" s="431">
        <v>25</v>
      </c>
      <c r="G530" s="431">
        <v>1400</v>
      </c>
      <c r="H530" s="431">
        <v>10000</v>
      </c>
      <c r="I530" s="431" t="s">
        <v>777</v>
      </c>
      <c r="J530" s="432" t="s">
        <v>786</v>
      </c>
      <c r="K530" s="432">
        <v>-25</v>
      </c>
      <c r="L530" s="432">
        <v>70</v>
      </c>
      <c r="M530" s="432" t="s">
        <v>577</v>
      </c>
      <c r="N530" s="432">
        <v>40</v>
      </c>
      <c r="O530" s="431" t="s">
        <v>168</v>
      </c>
      <c r="P530" s="431" t="s">
        <v>168</v>
      </c>
      <c r="Q530" s="430">
        <f>C530*((100-Discounts!$B$32)/100)</f>
        <v>74.199999999999989</v>
      </c>
      <c r="R530" t="str">
        <f>IF(ISNUMBER(Table3[[#This Row],[Thickness]]), "Zenith", "")</f>
        <v>Zenith</v>
      </c>
      <c r="S530">
        <v>12</v>
      </c>
      <c r="T530">
        <v>400</v>
      </c>
    </row>
    <row r="531" spans="1:20" x14ac:dyDescent="0.85">
      <c r="A531" s="433" t="s">
        <v>434</v>
      </c>
      <c r="B531" s="429" t="s">
        <v>438</v>
      </c>
      <c r="C531" s="434">
        <v>212</v>
      </c>
      <c r="D531" s="434"/>
      <c r="E531" s="430" t="s">
        <v>757</v>
      </c>
      <c r="F531" s="435">
        <v>25</v>
      </c>
      <c r="G531" s="435">
        <v>2000</v>
      </c>
      <c r="H531" s="435">
        <v>10000</v>
      </c>
      <c r="I531" s="431" t="s">
        <v>777</v>
      </c>
      <c r="J531" s="432" t="s">
        <v>786</v>
      </c>
      <c r="K531" s="432">
        <v>-25</v>
      </c>
      <c r="L531" s="432">
        <v>70</v>
      </c>
      <c r="M531" s="432" t="s">
        <v>577</v>
      </c>
      <c r="N531" s="432">
        <v>40</v>
      </c>
      <c r="O531" s="431" t="s">
        <v>168</v>
      </c>
      <c r="P531" s="431" t="s">
        <v>168</v>
      </c>
      <c r="Q531" s="434">
        <f>C531*((100-Discounts!$B$32)/100)</f>
        <v>74.199999999999989</v>
      </c>
      <c r="R531" t="str">
        <f>IF(ISNUMBER(Table3[[#This Row],[Thickness]]), "Zenith", "")</f>
        <v>Zenith</v>
      </c>
      <c r="S531">
        <v>12</v>
      </c>
      <c r="T531">
        <v>400</v>
      </c>
    </row>
    <row r="532" spans="1:20" x14ac:dyDescent="0.85">
      <c r="A532" s="429" t="s">
        <v>435</v>
      </c>
      <c r="B532" s="429" t="s">
        <v>438</v>
      </c>
      <c r="C532" s="430">
        <v>255</v>
      </c>
      <c r="D532" s="430"/>
      <c r="E532" s="430" t="s">
        <v>757</v>
      </c>
      <c r="F532" s="431">
        <v>30</v>
      </c>
      <c r="G532" s="431">
        <v>1400</v>
      </c>
      <c r="H532" s="431">
        <v>10000</v>
      </c>
      <c r="I532" s="431" t="s">
        <v>777</v>
      </c>
      <c r="J532" s="432" t="s">
        <v>786</v>
      </c>
      <c r="K532" s="432">
        <v>-25</v>
      </c>
      <c r="L532" s="432">
        <v>70</v>
      </c>
      <c r="M532" s="432" t="s">
        <v>577</v>
      </c>
      <c r="N532" s="432">
        <v>40</v>
      </c>
      <c r="O532" s="431" t="s">
        <v>168</v>
      </c>
      <c r="P532" s="431" t="s">
        <v>168</v>
      </c>
      <c r="Q532" s="430">
        <f>C532*((100-Discounts!$B$32)/100)</f>
        <v>89.25</v>
      </c>
      <c r="R532" t="str">
        <f>IF(ISNUMBER(Table3[[#This Row],[Thickness]]), "Zenith", "")</f>
        <v>Zenith</v>
      </c>
      <c r="S532">
        <v>12</v>
      </c>
      <c r="T532">
        <v>400</v>
      </c>
    </row>
    <row r="533" spans="1:20" x14ac:dyDescent="0.85">
      <c r="A533" s="433" t="s">
        <v>435</v>
      </c>
      <c r="B533" s="429" t="s">
        <v>438</v>
      </c>
      <c r="C533" s="434">
        <v>255</v>
      </c>
      <c r="D533" s="434"/>
      <c r="E533" s="430" t="s">
        <v>757</v>
      </c>
      <c r="F533" s="435">
        <v>30</v>
      </c>
      <c r="G533" s="435">
        <v>2000</v>
      </c>
      <c r="H533" s="435">
        <v>10000</v>
      </c>
      <c r="I533" s="431" t="s">
        <v>777</v>
      </c>
      <c r="J533" s="432" t="s">
        <v>786</v>
      </c>
      <c r="K533" s="432">
        <v>-25</v>
      </c>
      <c r="L533" s="432">
        <v>70</v>
      </c>
      <c r="M533" s="432" t="s">
        <v>577</v>
      </c>
      <c r="N533" s="432">
        <v>40</v>
      </c>
      <c r="O533" s="431" t="s">
        <v>168</v>
      </c>
      <c r="P533" s="431" t="s">
        <v>168</v>
      </c>
      <c r="Q533" s="434">
        <f>C533*((100-Discounts!$B$32)/100)</f>
        <v>89.25</v>
      </c>
      <c r="R533" t="str">
        <f>IF(ISNUMBER(Table3[[#This Row],[Thickness]]), "Zenith", "")</f>
        <v>Zenith</v>
      </c>
      <c r="S533">
        <v>12</v>
      </c>
      <c r="T533">
        <v>400</v>
      </c>
    </row>
    <row r="534" spans="1:20" x14ac:dyDescent="0.85">
      <c r="A534" s="429" t="s">
        <v>436</v>
      </c>
      <c r="B534" s="429" t="s">
        <v>438</v>
      </c>
      <c r="C534" s="430">
        <v>340</v>
      </c>
      <c r="D534" s="430"/>
      <c r="E534" s="430" t="s">
        <v>757</v>
      </c>
      <c r="F534" s="431">
        <v>40</v>
      </c>
      <c r="G534" s="431">
        <v>2000</v>
      </c>
      <c r="H534" s="431">
        <v>5000</v>
      </c>
      <c r="I534" s="431" t="s">
        <v>777</v>
      </c>
      <c r="J534" s="432" t="s">
        <v>786</v>
      </c>
      <c r="K534" s="432">
        <v>-25</v>
      </c>
      <c r="L534" s="432">
        <v>70</v>
      </c>
      <c r="M534" s="432" t="s">
        <v>577</v>
      </c>
      <c r="N534" s="432">
        <v>40</v>
      </c>
      <c r="O534" s="431" t="s">
        <v>168</v>
      </c>
      <c r="P534" s="431" t="s">
        <v>168</v>
      </c>
      <c r="Q534" s="430">
        <f>C534*((100-Discounts!$B$32)/100)</f>
        <v>118.99999999999999</v>
      </c>
      <c r="R534" t="str">
        <f>IF(ISNUMBER(Table3[[#This Row],[Thickness]]), "Zenith", "")</f>
        <v>Zenith</v>
      </c>
      <c r="S534">
        <v>12</v>
      </c>
      <c r="T534">
        <v>400</v>
      </c>
    </row>
    <row r="535" spans="1:20" x14ac:dyDescent="0.85">
      <c r="A535" s="433" t="s">
        <v>437</v>
      </c>
      <c r="B535" s="429" t="s">
        <v>438</v>
      </c>
      <c r="C535" s="434">
        <v>425</v>
      </c>
      <c r="D535" s="434"/>
      <c r="E535" s="430" t="s">
        <v>757</v>
      </c>
      <c r="F535" s="435">
        <v>50</v>
      </c>
      <c r="G535" s="435">
        <v>2000</v>
      </c>
      <c r="H535" s="435">
        <v>5000</v>
      </c>
      <c r="I535" s="431" t="s">
        <v>777</v>
      </c>
      <c r="J535" s="432" t="s">
        <v>786</v>
      </c>
      <c r="K535" s="432">
        <v>-25</v>
      </c>
      <c r="L535" s="432">
        <v>70</v>
      </c>
      <c r="M535" s="432" t="s">
        <v>577</v>
      </c>
      <c r="N535" s="432">
        <v>40</v>
      </c>
      <c r="O535" s="431" t="s">
        <v>168</v>
      </c>
      <c r="P535" s="431" t="s">
        <v>168</v>
      </c>
      <c r="Q535" s="434">
        <f>C535*((100-Discounts!$B$32)/100)</f>
        <v>148.75</v>
      </c>
      <c r="R535" t="str">
        <f>IF(ISNUMBER(Table3[[#This Row],[Thickness]]), "Zenith", "")</f>
        <v>Zenith</v>
      </c>
      <c r="S535">
        <v>12</v>
      </c>
      <c r="T535">
        <v>400</v>
      </c>
    </row>
    <row r="536" spans="1:20" ht="27" thickBot="1" x14ac:dyDescent="0.9">
      <c r="A536" s="381"/>
      <c r="B536" s="382"/>
      <c r="C536" s="383"/>
      <c r="D536" s="383"/>
      <c r="E536" s="383"/>
      <c r="F536" s="384" t="s">
        <v>446</v>
      </c>
      <c r="G536" s="384">
        <v>0</v>
      </c>
      <c r="H536" s="331">
        <v>0</v>
      </c>
      <c r="I536" s="217" t="s">
        <v>777</v>
      </c>
      <c r="J536" t="s">
        <v>786</v>
      </c>
      <c r="M536" s="348"/>
      <c r="N536" s="343"/>
      <c r="O536" s="217" t="s">
        <v>168</v>
      </c>
      <c r="P536" s="385" t="s">
        <v>168</v>
      </c>
      <c r="Q536" s="386" t="s">
        <v>323</v>
      </c>
      <c r="R536" t="str">
        <f>IF(ISNUMBER(Table3[[#This Row],[Thickness]]), "Zenith", "")</f>
        <v/>
      </c>
    </row>
    <row r="537" spans="1:20" ht="27" thickTop="1" x14ac:dyDescent="0.85">
      <c r="A537" s="429" t="s">
        <v>447</v>
      </c>
      <c r="B537" s="429" t="s">
        <v>446</v>
      </c>
      <c r="C537" s="430">
        <v>45</v>
      </c>
      <c r="D537" s="430"/>
      <c r="E537" s="430" t="s">
        <v>757</v>
      </c>
      <c r="F537" s="431">
        <v>1.5</v>
      </c>
      <c r="G537" s="431">
        <v>1400</v>
      </c>
      <c r="H537" s="431">
        <v>10000</v>
      </c>
      <c r="I537" s="431" t="s">
        <v>777</v>
      </c>
      <c r="J537" s="432" t="s">
        <v>786</v>
      </c>
      <c r="K537" s="432">
        <v>-40</v>
      </c>
      <c r="L537" s="432">
        <v>75</v>
      </c>
      <c r="M537" s="432" t="s">
        <v>637</v>
      </c>
      <c r="N537" s="432">
        <v>25</v>
      </c>
      <c r="O537" s="431" t="s">
        <v>168</v>
      </c>
      <c r="P537" s="431" t="s">
        <v>168</v>
      </c>
      <c r="Q537" s="430">
        <f>C537*((100-Discounts!$B$33)/100)</f>
        <v>15.749999999999998</v>
      </c>
      <c r="R537" t="str">
        <f>IF(ISNUMBER(Table3[[#This Row],[Thickness]]), "Zenith", "")</f>
        <v>Zenith</v>
      </c>
      <c r="S537">
        <v>25</v>
      </c>
      <c r="T537">
        <v>900</v>
      </c>
    </row>
    <row r="538" spans="1:20" x14ac:dyDescent="0.85">
      <c r="A538" s="433" t="s">
        <v>439</v>
      </c>
      <c r="B538" s="429" t="s">
        <v>446</v>
      </c>
      <c r="C538" s="434">
        <v>59</v>
      </c>
      <c r="D538" s="434"/>
      <c r="E538" s="430" t="s">
        <v>757</v>
      </c>
      <c r="F538" s="435">
        <v>2</v>
      </c>
      <c r="G538" s="435">
        <v>1400</v>
      </c>
      <c r="H538" s="435">
        <v>10000</v>
      </c>
      <c r="I538" s="431" t="s">
        <v>777</v>
      </c>
      <c r="J538" s="432" t="s">
        <v>786</v>
      </c>
      <c r="K538" s="432">
        <v>-40</v>
      </c>
      <c r="L538" s="432">
        <v>75</v>
      </c>
      <c r="M538" s="432" t="s">
        <v>637</v>
      </c>
      <c r="N538" s="432">
        <v>25</v>
      </c>
      <c r="O538" s="431" t="s">
        <v>168</v>
      </c>
      <c r="P538" s="431" t="s">
        <v>168</v>
      </c>
      <c r="Q538" s="434">
        <f>C538*((100-Discounts!$B$33)/100)</f>
        <v>20.65</v>
      </c>
      <c r="R538" t="str">
        <f>IF(ISNUMBER(Table3[[#This Row],[Thickness]]), "Zenith", "")</f>
        <v>Zenith</v>
      </c>
      <c r="S538">
        <v>25</v>
      </c>
      <c r="T538">
        <v>900</v>
      </c>
    </row>
    <row r="539" spans="1:20" x14ac:dyDescent="0.85">
      <c r="A539" s="429" t="s">
        <v>440</v>
      </c>
      <c r="B539" s="429" t="s">
        <v>446</v>
      </c>
      <c r="C539" s="430">
        <v>89</v>
      </c>
      <c r="D539" s="430"/>
      <c r="E539" s="430" t="s">
        <v>757</v>
      </c>
      <c r="F539" s="431">
        <v>3</v>
      </c>
      <c r="G539" s="431">
        <v>1400</v>
      </c>
      <c r="H539" s="431">
        <v>10000</v>
      </c>
      <c r="I539" s="431" t="s">
        <v>777</v>
      </c>
      <c r="J539" s="432" t="s">
        <v>786</v>
      </c>
      <c r="K539" s="432">
        <v>-40</v>
      </c>
      <c r="L539" s="432">
        <v>75</v>
      </c>
      <c r="M539" s="432" t="s">
        <v>637</v>
      </c>
      <c r="N539" s="432">
        <v>25</v>
      </c>
      <c r="O539" s="431" t="s">
        <v>168</v>
      </c>
      <c r="P539" s="431" t="s">
        <v>168</v>
      </c>
      <c r="Q539" s="430">
        <f>C539*((100-Discounts!$B$33)/100)</f>
        <v>31.15</v>
      </c>
      <c r="R539" t="str">
        <f>IF(ISNUMBER(Table3[[#This Row],[Thickness]]), "Zenith", "")</f>
        <v>Zenith</v>
      </c>
      <c r="S539">
        <v>25</v>
      </c>
      <c r="T539">
        <v>900</v>
      </c>
    </row>
    <row r="540" spans="1:20" x14ac:dyDescent="0.85">
      <c r="A540" s="433" t="s">
        <v>441</v>
      </c>
      <c r="B540" s="429" t="s">
        <v>446</v>
      </c>
      <c r="C540" s="434">
        <v>118</v>
      </c>
      <c r="D540" s="434"/>
      <c r="E540" s="430" t="s">
        <v>757</v>
      </c>
      <c r="F540" s="435">
        <v>4</v>
      </c>
      <c r="G540" s="435">
        <v>1400</v>
      </c>
      <c r="H540" s="435">
        <v>10000</v>
      </c>
      <c r="I540" s="431" t="s">
        <v>777</v>
      </c>
      <c r="J540" s="432" t="s">
        <v>786</v>
      </c>
      <c r="K540" s="432">
        <v>-40</v>
      </c>
      <c r="L540" s="432">
        <v>75</v>
      </c>
      <c r="M540" s="432" t="s">
        <v>637</v>
      </c>
      <c r="N540" s="432">
        <v>25</v>
      </c>
      <c r="O540" s="431" t="s">
        <v>168</v>
      </c>
      <c r="P540" s="431" t="s">
        <v>168</v>
      </c>
      <c r="Q540" s="434">
        <f>C540*((100-Discounts!$B$33)/100)</f>
        <v>41.3</v>
      </c>
      <c r="R540" t="str">
        <f>IF(ISNUMBER(Table3[[#This Row],[Thickness]]), "Zenith", "")</f>
        <v>Zenith</v>
      </c>
      <c r="S540">
        <v>25</v>
      </c>
      <c r="T540">
        <v>900</v>
      </c>
    </row>
    <row r="541" spans="1:20" x14ac:dyDescent="0.85">
      <c r="A541" s="429" t="s">
        <v>442</v>
      </c>
      <c r="B541" s="429" t="s">
        <v>446</v>
      </c>
      <c r="C541" s="430">
        <v>147</v>
      </c>
      <c r="D541" s="430"/>
      <c r="E541" s="430" t="s">
        <v>757</v>
      </c>
      <c r="F541" s="431">
        <v>5</v>
      </c>
      <c r="G541" s="431">
        <v>1400</v>
      </c>
      <c r="H541" s="431">
        <v>10000</v>
      </c>
      <c r="I541" s="431" t="s">
        <v>777</v>
      </c>
      <c r="J541" s="432" t="s">
        <v>786</v>
      </c>
      <c r="K541" s="432">
        <v>-40</v>
      </c>
      <c r="L541" s="432">
        <v>75</v>
      </c>
      <c r="M541" s="432" t="s">
        <v>637</v>
      </c>
      <c r="N541" s="432">
        <v>25</v>
      </c>
      <c r="O541" s="431" t="s">
        <v>168</v>
      </c>
      <c r="P541" s="431" t="s">
        <v>168</v>
      </c>
      <c r="Q541" s="430">
        <f>C541*((100-Discounts!$B$33)/100)</f>
        <v>51.449999999999996</v>
      </c>
      <c r="R541" t="str">
        <f>IF(ISNUMBER(Table3[[#This Row],[Thickness]]), "Zenith", "")</f>
        <v>Zenith</v>
      </c>
      <c r="S541">
        <v>25</v>
      </c>
      <c r="T541">
        <v>900</v>
      </c>
    </row>
    <row r="542" spans="1:20" x14ac:dyDescent="0.85">
      <c r="A542" s="433" t="s">
        <v>443</v>
      </c>
      <c r="B542" s="429" t="s">
        <v>446</v>
      </c>
      <c r="C542" s="434">
        <v>176</v>
      </c>
      <c r="D542" s="434"/>
      <c r="E542" s="430" t="s">
        <v>757</v>
      </c>
      <c r="F542" s="435">
        <v>6</v>
      </c>
      <c r="G542" s="435">
        <v>1400</v>
      </c>
      <c r="H542" s="435">
        <v>10000</v>
      </c>
      <c r="I542" s="431" t="s">
        <v>777</v>
      </c>
      <c r="J542" s="432" t="s">
        <v>786</v>
      </c>
      <c r="K542" s="432">
        <v>-40</v>
      </c>
      <c r="L542" s="432">
        <v>75</v>
      </c>
      <c r="M542" s="432" t="s">
        <v>637</v>
      </c>
      <c r="N542" s="432">
        <v>25</v>
      </c>
      <c r="O542" s="431" t="s">
        <v>168</v>
      </c>
      <c r="P542" s="431" t="s">
        <v>168</v>
      </c>
      <c r="Q542" s="434">
        <f>C542*((100-Discounts!$B$33)/100)</f>
        <v>61.599999999999994</v>
      </c>
      <c r="R542" t="str">
        <f>IF(ISNUMBER(Table3[[#This Row],[Thickness]]), "Zenith", "")</f>
        <v>Zenith</v>
      </c>
      <c r="S542">
        <v>25</v>
      </c>
      <c r="T542">
        <v>900</v>
      </c>
    </row>
    <row r="543" spans="1:20" x14ac:dyDescent="0.85">
      <c r="A543" s="429" t="s">
        <v>444</v>
      </c>
      <c r="B543" s="429" t="s">
        <v>446</v>
      </c>
      <c r="C543" s="430">
        <v>233</v>
      </c>
      <c r="D543" s="430"/>
      <c r="E543" s="430" t="s">
        <v>757</v>
      </c>
      <c r="F543" s="431">
        <v>8</v>
      </c>
      <c r="G543" s="431">
        <v>1400</v>
      </c>
      <c r="H543" s="431">
        <v>5000</v>
      </c>
      <c r="I543" s="431" t="s">
        <v>777</v>
      </c>
      <c r="J543" s="432" t="s">
        <v>786</v>
      </c>
      <c r="K543" s="432">
        <v>-40</v>
      </c>
      <c r="L543" s="432">
        <v>75</v>
      </c>
      <c r="M543" s="432" t="s">
        <v>637</v>
      </c>
      <c r="N543" s="432">
        <v>25</v>
      </c>
      <c r="O543" s="431" t="s">
        <v>168</v>
      </c>
      <c r="P543" s="431" t="s">
        <v>168</v>
      </c>
      <c r="Q543" s="430">
        <f>C543*((100-Discounts!$B$33)/100)</f>
        <v>81.55</v>
      </c>
      <c r="R543" t="str">
        <f>IF(ISNUMBER(Table3[[#This Row],[Thickness]]), "Zenith", "")</f>
        <v>Zenith</v>
      </c>
      <c r="S543">
        <v>25</v>
      </c>
      <c r="T543">
        <v>900</v>
      </c>
    </row>
    <row r="544" spans="1:20" x14ac:dyDescent="0.85">
      <c r="A544" s="433" t="s">
        <v>448</v>
      </c>
      <c r="B544" s="429" t="s">
        <v>446</v>
      </c>
      <c r="C544" s="434">
        <v>233</v>
      </c>
      <c r="D544" s="434"/>
      <c r="E544" s="430" t="s">
        <v>757</v>
      </c>
      <c r="F544" s="435">
        <v>8</v>
      </c>
      <c r="G544" s="435">
        <v>1400</v>
      </c>
      <c r="H544" s="435">
        <v>10000</v>
      </c>
      <c r="I544" s="431" t="s">
        <v>777</v>
      </c>
      <c r="J544" s="432" t="s">
        <v>786</v>
      </c>
      <c r="K544" s="432">
        <v>-40</v>
      </c>
      <c r="L544" s="432">
        <v>75</v>
      </c>
      <c r="M544" s="432" t="s">
        <v>637</v>
      </c>
      <c r="N544" s="432">
        <v>25</v>
      </c>
      <c r="O544" s="431" t="s">
        <v>168</v>
      </c>
      <c r="P544" s="431" t="s">
        <v>168</v>
      </c>
      <c r="Q544" s="434">
        <f>C544*((100-Discounts!$B$33)/100)</f>
        <v>81.55</v>
      </c>
      <c r="R544" t="str">
        <f>IF(ISNUMBER(Table3[[#This Row],[Thickness]]), "Zenith", "")</f>
        <v>Zenith</v>
      </c>
      <c r="S544">
        <v>25</v>
      </c>
      <c r="T544">
        <v>900</v>
      </c>
    </row>
    <row r="545" spans="1:20" x14ac:dyDescent="0.85">
      <c r="A545" s="429" t="s">
        <v>445</v>
      </c>
      <c r="B545" s="429" t="s">
        <v>446</v>
      </c>
      <c r="C545" s="430">
        <v>290</v>
      </c>
      <c r="D545" s="430"/>
      <c r="E545" s="430" t="s">
        <v>757</v>
      </c>
      <c r="F545" s="431">
        <v>10</v>
      </c>
      <c r="G545" s="431">
        <v>1400</v>
      </c>
      <c r="H545" s="431">
        <v>5000</v>
      </c>
      <c r="I545" s="431" t="s">
        <v>777</v>
      </c>
      <c r="J545" s="432" t="s">
        <v>786</v>
      </c>
      <c r="K545" s="432">
        <v>-40</v>
      </c>
      <c r="L545" s="432">
        <v>75</v>
      </c>
      <c r="M545" s="432" t="s">
        <v>637</v>
      </c>
      <c r="N545" s="432">
        <v>25</v>
      </c>
      <c r="O545" s="431" t="s">
        <v>168</v>
      </c>
      <c r="P545" s="431" t="s">
        <v>168</v>
      </c>
      <c r="Q545" s="430">
        <f>C545*((100-Discounts!$B$33)/100)</f>
        <v>101.5</v>
      </c>
      <c r="R545" t="str">
        <f>IF(ISNUMBER(Table3[[#This Row],[Thickness]]), "Zenith", "")</f>
        <v>Zenith</v>
      </c>
      <c r="S545">
        <v>25</v>
      </c>
      <c r="T545">
        <v>900</v>
      </c>
    </row>
    <row r="546" spans="1:20" x14ac:dyDescent="0.85">
      <c r="A546" s="433" t="s">
        <v>449</v>
      </c>
      <c r="B546" s="429" t="s">
        <v>446</v>
      </c>
      <c r="C546" s="434">
        <v>290</v>
      </c>
      <c r="D546" s="434"/>
      <c r="E546" s="430" t="s">
        <v>757</v>
      </c>
      <c r="F546" s="435">
        <v>10</v>
      </c>
      <c r="G546" s="435">
        <v>1400</v>
      </c>
      <c r="H546" s="435">
        <v>10000</v>
      </c>
      <c r="I546" s="431" t="s">
        <v>777</v>
      </c>
      <c r="J546" s="432" t="s">
        <v>786</v>
      </c>
      <c r="K546" s="432">
        <v>-40</v>
      </c>
      <c r="L546" s="432">
        <v>75</v>
      </c>
      <c r="M546" s="432" t="s">
        <v>637</v>
      </c>
      <c r="N546" s="432">
        <v>25</v>
      </c>
      <c r="O546" s="431" t="s">
        <v>168</v>
      </c>
      <c r="P546" s="431" t="s">
        <v>168</v>
      </c>
      <c r="Q546" s="434">
        <f>C546*((100-Discounts!$B$33)/100)</f>
        <v>101.5</v>
      </c>
      <c r="R546" t="str">
        <f>IF(ISNUMBER(Table3[[#This Row],[Thickness]]), "Zenith", "")</f>
        <v>Zenith</v>
      </c>
      <c r="S546">
        <v>25</v>
      </c>
      <c r="T546">
        <v>900</v>
      </c>
    </row>
    <row r="547" spans="1:20" x14ac:dyDescent="0.85">
      <c r="A547" s="429" t="s">
        <v>450</v>
      </c>
      <c r="B547" s="429" t="s">
        <v>446</v>
      </c>
      <c r="C547" s="430">
        <v>427.5</v>
      </c>
      <c r="D547" s="430"/>
      <c r="E547" s="430" t="s">
        <v>757</v>
      </c>
      <c r="F547" s="431">
        <v>15</v>
      </c>
      <c r="G547" s="431">
        <v>1400</v>
      </c>
      <c r="H547" s="431">
        <v>10000</v>
      </c>
      <c r="I547" s="431" t="s">
        <v>777</v>
      </c>
      <c r="J547" s="432" t="s">
        <v>786</v>
      </c>
      <c r="K547" s="432">
        <v>-40</v>
      </c>
      <c r="L547" s="432">
        <v>75</v>
      </c>
      <c r="M547" s="432" t="s">
        <v>637</v>
      </c>
      <c r="N547" s="432">
        <v>25</v>
      </c>
      <c r="O547" s="431" t="s">
        <v>168</v>
      </c>
      <c r="P547" s="431" t="s">
        <v>168</v>
      </c>
      <c r="Q547" s="430">
        <f>C547*((100-Discounts!$B$33)/100)</f>
        <v>149.625</v>
      </c>
      <c r="R547" t="str">
        <f>IF(ISNUMBER(Table3[[#This Row],[Thickness]]), "Zenith", "")</f>
        <v>Zenith</v>
      </c>
      <c r="S547">
        <v>25</v>
      </c>
      <c r="T547">
        <v>900</v>
      </c>
    </row>
    <row r="548" spans="1:20" x14ac:dyDescent="0.85">
      <c r="A548" s="433" t="s">
        <v>451</v>
      </c>
      <c r="B548" s="429" t="s">
        <v>446</v>
      </c>
      <c r="C548" s="434">
        <v>570</v>
      </c>
      <c r="D548" s="434"/>
      <c r="E548" s="430" t="s">
        <v>757</v>
      </c>
      <c r="F548" s="435">
        <v>20</v>
      </c>
      <c r="G548" s="435">
        <v>1400</v>
      </c>
      <c r="H548" s="435">
        <v>5000</v>
      </c>
      <c r="I548" s="431" t="s">
        <v>777</v>
      </c>
      <c r="J548" s="432" t="s">
        <v>786</v>
      </c>
      <c r="K548" s="432">
        <v>-40</v>
      </c>
      <c r="L548" s="432">
        <v>75</v>
      </c>
      <c r="M548" s="432" t="s">
        <v>637</v>
      </c>
      <c r="N548" s="432">
        <v>25</v>
      </c>
      <c r="O548" s="431" t="s">
        <v>168</v>
      </c>
      <c r="P548" s="431" t="s">
        <v>168</v>
      </c>
      <c r="Q548" s="434">
        <f>C548*((100-Discounts!$B$33)/100)</f>
        <v>199.5</v>
      </c>
      <c r="R548" t="str">
        <f>IF(ISNUMBER(Table3[[#This Row],[Thickness]]), "Zenith", "")</f>
        <v>Zenith</v>
      </c>
      <c r="S548">
        <v>25</v>
      </c>
      <c r="T548">
        <v>900</v>
      </c>
    </row>
    <row r="549" spans="1:20" ht="27" thickBot="1" x14ac:dyDescent="0.9">
      <c r="A549" s="381"/>
      <c r="B549" s="382"/>
      <c r="C549" s="383"/>
      <c r="D549" s="383"/>
      <c r="E549" s="383"/>
      <c r="F549" s="384" t="s">
        <v>223</v>
      </c>
      <c r="G549" s="384">
        <v>0</v>
      </c>
      <c r="H549" s="331">
        <v>0</v>
      </c>
      <c r="I549" s="217" t="s">
        <v>777</v>
      </c>
      <c r="J549" t="s">
        <v>786</v>
      </c>
      <c r="M549" s="352"/>
      <c r="N549" s="349"/>
      <c r="O549" s="217" t="s">
        <v>168</v>
      </c>
      <c r="P549" s="385" t="s">
        <v>168</v>
      </c>
      <c r="Q549" s="386" t="s">
        <v>323</v>
      </c>
      <c r="R549" t="str">
        <f>IF(ISNUMBER(Table3[[#This Row],[Thickness]]), "Zenith", "")</f>
        <v/>
      </c>
    </row>
    <row r="550" spans="1:20" ht="27" thickTop="1" x14ac:dyDescent="0.85">
      <c r="A550" s="429" t="s">
        <v>452</v>
      </c>
      <c r="B550" s="429" t="s">
        <v>223</v>
      </c>
      <c r="C550" s="430">
        <v>47.5</v>
      </c>
      <c r="D550" s="430"/>
      <c r="E550" s="430" t="s">
        <v>757</v>
      </c>
      <c r="F550" s="431">
        <v>1.5</v>
      </c>
      <c r="G550" s="431">
        <v>1400</v>
      </c>
      <c r="H550" s="431">
        <v>20000</v>
      </c>
      <c r="I550" s="431" t="s">
        <v>777</v>
      </c>
      <c r="J550" s="432" t="s">
        <v>786</v>
      </c>
      <c r="K550" s="432">
        <v>-25</v>
      </c>
      <c r="L550" s="432">
        <v>70</v>
      </c>
      <c r="M550" s="432" t="s">
        <v>577</v>
      </c>
      <c r="N550" s="432">
        <v>40</v>
      </c>
      <c r="O550" s="431" t="s">
        <v>168</v>
      </c>
      <c r="P550" s="431" t="s">
        <v>168</v>
      </c>
      <c r="Q550" s="430">
        <f>C550*((100-Discounts!$B$34)/100)</f>
        <v>14.25</v>
      </c>
      <c r="R550" t="str">
        <f>IF(ISNUMBER(Table3[[#This Row],[Thickness]]), "Zenith", "")</f>
        <v>Zenith</v>
      </c>
      <c r="S550">
        <v>20</v>
      </c>
      <c r="T550">
        <v>650</v>
      </c>
    </row>
    <row r="551" spans="1:20" x14ac:dyDescent="0.85">
      <c r="A551" s="433" t="s">
        <v>453</v>
      </c>
      <c r="B551" s="429" t="s">
        <v>223</v>
      </c>
      <c r="C551" s="434">
        <v>52.25</v>
      </c>
      <c r="D551" s="434"/>
      <c r="E551" s="430" t="s">
        <v>757</v>
      </c>
      <c r="F551" s="435">
        <v>2</v>
      </c>
      <c r="G551" s="435">
        <v>1400</v>
      </c>
      <c r="H551" s="435">
        <v>20000</v>
      </c>
      <c r="I551" s="431" t="s">
        <v>777</v>
      </c>
      <c r="J551" s="432" t="s">
        <v>786</v>
      </c>
      <c r="K551" s="432">
        <v>-25</v>
      </c>
      <c r="L551" s="432">
        <v>70</v>
      </c>
      <c r="M551" s="432" t="s">
        <v>577</v>
      </c>
      <c r="N551" s="432">
        <v>40</v>
      </c>
      <c r="O551" s="431" t="s">
        <v>168</v>
      </c>
      <c r="P551" s="431" t="s">
        <v>168</v>
      </c>
      <c r="Q551" s="434">
        <f>C551*((100-Discounts!$B$34)/100)</f>
        <v>15.674999999999999</v>
      </c>
      <c r="R551" t="str">
        <f>IF(ISNUMBER(Table3[[#This Row],[Thickness]]), "Zenith", "")</f>
        <v>Zenith</v>
      </c>
      <c r="S551">
        <v>20</v>
      </c>
      <c r="T551">
        <v>650</v>
      </c>
    </row>
    <row r="552" spans="1:20" x14ac:dyDescent="0.85">
      <c r="A552" s="429" t="s">
        <v>454</v>
      </c>
      <c r="B552" s="429" t="s">
        <v>223</v>
      </c>
      <c r="C552" s="430">
        <v>78.5</v>
      </c>
      <c r="D552" s="430"/>
      <c r="E552" s="430" t="s">
        <v>757</v>
      </c>
      <c r="F552" s="431">
        <v>3</v>
      </c>
      <c r="G552" s="431">
        <v>1400</v>
      </c>
      <c r="H552" s="431">
        <v>20000</v>
      </c>
      <c r="I552" s="431" t="s">
        <v>777</v>
      </c>
      <c r="J552" s="432" t="s">
        <v>786</v>
      </c>
      <c r="K552" s="432">
        <v>-25</v>
      </c>
      <c r="L552" s="432">
        <v>70</v>
      </c>
      <c r="M552" s="432" t="s">
        <v>577</v>
      </c>
      <c r="N552" s="432">
        <v>40</v>
      </c>
      <c r="O552" s="431" t="s">
        <v>168</v>
      </c>
      <c r="P552" s="431" t="s">
        <v>168</v>
      </c>
      <c r="Q552" s="430">
        <f>C552*((100-Discounts!$B$34)/100)</f>
        <v>23.55</v>
      </c>
      <c r="R552" t="str">
        <f>IF(ISNUMBER(Table3[[#This Row],[Thickness]]), "Zenith", "")</f>
        <v>Zenith</v>
      </c>
      <c r="S552">
        <v>20</v>
      </c>
      <c r="T552">
        <v>650</v>
      </c>
    </row>
    <row r="553" spans="1:20" ht="53.5" thickBot="1" x14ac:dyDescent="0.9">
      <c r="A553" s="151"/>
      <c r="B553" s="151"/>
      <c r="C553" s="387"/>
      <c r="D553" s="387"/>
      <c r="E553" s="387"/>
      <c r="F553" s="388" t="s">
        <v>516</v>
      </c>
      <c r="G553" s="388">
        <v>0</v>
      </c>
      <c r="H553" s="332">
        <v>0</v>
      </c>
      <c r="I553" s="217" t="s">
        <v>777</v>
      </c>
      <c r="M553" s="353"/>
      <c r="N553" s="349"/>
      <c r="O553" s="217" t="s">
        <v>168</v>
      </c>
      <c r="P553" s="385" t="s">
        <v>168</v>
      </c>
      <c r="Q553" s="387"/>
      <c r="R553" t="str">
        <f>IF(ISNUMBER(Table3[[#This Row],[Thickness]]), "Zenith", "")</f>
        <v/>
      </c>
    </row>
    <row r="554" spans="1:20" ht="27.5" thickTop="1" thickBot="1" x14ac:dyDescent="0.9">
      <c r="A554" s="152"/>
      <c r="B554" s="304"/>
      <c r="C554" s="268"/>
      <c r="D554" s="268"/>
      <c r="E554" s="268"/>
      <c r="F554" s="266" t="s">
        <v>224</v>
      </c>
      <c r="G554" s="266">
        <v>0</v>
      </c>
      <c r="H554" s="267">
        <v>0</v>
      </c>
      <c r="I554" s="217" t="s">
        <v>777</v>
      </c>
      <c r="M554" s="231"/>
      <c r="N554" s="233"/>
      <c r="O554" s="265" t="s">
        <v>168</v>
      </c>
      <c r="P554" s="235" t="s">
        <v>168</v>
      </c>
      <c r="Q554" s="269" t="s">
        <v>323</v>
      </c>
      <c r="R554" t="str">
        <f>IF(ISNUMBER(Table3[[#This Row],[Thickness]]), "Zenith", "")</f>
        <v/>
      </c>
    </row>
    <row r="555" spans="1:20" ht="27" thickTop="1" x14ac:dyDescent="0.85">
      <c r="A555" s="429" t="s">
        <v>455</v>
      </c>
      <c r="B555" s="429" t="s">
        <v>224</v>
      </c>
      <c r="C555" s="430">
        <v>19</v>
      </c>
      <c r="D555" s="430"/>
      <c r="E555" s="430" t="s">
        <v>757</v>
      </c>
      <c r="F555" s="431">
        <v>1</v>
      </c>
      <c r="G555" s="431">
        <v>1400</v>
      </c>
      <c r="H555" s="431">
        <v>20000</v>
      </c>
      <c r="I555" s="431" t="s">
        <v>777</v>
      </c>
      <c r="J555" s="432" t="s">
        <v>787</v>
      </c>
      <c r="K555" s="432">
        <v>-30</v>
      </c>
      <c r="L555" s="432">
        <v>70</v>
      </c>
      <c r="M555" s="432" t="s">
        <v>779</v>
      </c>
      <c r="N555" s="432">
        <v>60</v>
      </c>
      <c r="O555" s="431" t="s">
        <v>168</v>
      </c>
      <c r="P555" s="431" t="s">
        <v>168</v>
      </c>
      <c r="Q555" s="430">
        <f>C555*((100-Discounts!$B$36)/100)</f>
        <v>7.6000000000000005</v>
      </c>
      <c r="R555" t="str">
        <f>IF(ISNUMBER(Table3[[#This Row],[Thickness]]), "Zenith", "")</f>
        <v>Zenith</v>
      </c>
      <c r="S555">
        <v>6</v>
      </c>
      <c r="T555">
        <v>200</v>
      </c>
    </row>
    <row r="556" spans="1:20" x14ac:dyDescent="0.85">
      <c r="A556" s="433" t="s">
        <v>456</v>
      </c>
      <c r="B556" s="429" t="s">
        <v>224</v>
      </c>
      <c r="C556" s="434">
        <v>33.75</v>
      </c>
      <c r="D556" s="434"/>
      <c r="E556" s="430" t="s">
        <v>757</v>
      </c>
      <c r="F556" s="435">
        <v>2</v>
      </c>
      <c r="G556" s="435">
        <v>1400</v>
      </c>
      <c r="H556" s="435">
        <v>10000</v>
      </c>
      <c r="I556" s="431" t="s">
        <v>777</v>
      </c>
      <c r="J556" s="432" t="s">
        <v>787</v>
      </c>
      <c r="K556" s="432">
        <v>-30</v>
      </c>
      <c r="L556" s="432">
        <v>70</v>
      </c>
      <c r="M556" s="432" t="s">
        <v>779</v>
      </c>
      <c r="N556" s="432">
        <v>60</v>
      </c>
      <c r="O556" s="431" t="s">
        <v>168</v>
      </c>
      <c r="P556" s="431" t="s">
        <v>168</v>
      </c>
      <c r="Q556" s="434">
        <f>C556*((100-Discounts!$B$36)/100)</f>
        <v>13.5</v>
      </c>
      <c r="R556" t="str">
        <f>IF(ISNUMBER(Table3[[#This Row],[Thickness]]), "Zenith", "")</f>
        <v>Zenith</v>
      </c>
      <c r="S556">
        <v>6</v>
      </c>
      <c r="T556">
        <v>200</v>
      </c>
    </row>
    <row r="557" spans="1:20" x14ac:dyDescent="0.85">
      <c r="A557" s="429" t="s">
        <v>457</v>
      </c>
      <c r="B557" s="429" t="s">
        <v>224</v>
      </c>
      <c r="C557" s="430">
        <v>47.25</v>
      </c>
      <c r="D557" s="430"/>
      <c r="E557" s="430" t="s">
        <v>757</v>
      </c>
      <c r="F557" s="431">
        <v>3</v>
      </c>
      <c r="G557" s="431">
        <v>1400</v>
      </c>
      <c r="H557" s="431">
        <v>10000</v>
      </c>
      <c r="I557" s="431" t="s">
        <v>777</v>
      </c>
      <c r="J557" s="432" t="s">
        <v>787</v>
      </c>
      <c r="K557" s="432">
        <v>-30</v>
      </c>
      <c r="L557" s="432">
        <v>70</v>
      </c>
      <c r="M557" s="432" t="s">
        <v>779</v>
      </c>
      <c r="N557" s="432">
        <v>60</v>
      </c>
      <c r="O557" s="431" t="s">
        <v>168</v>
      </c>
      <c r="P557" s="431" t="s">
        <v>168</v>
      </c>
      <c r="Q557" s="430">
        <f>C557*((100-Discounts!$B$36)/100)</f>
        <v>18.900000000000002</v>
      </c>
      <c r="R557" t="str">
        <f>IF(ISNUMBER(Table3[[#This Row],[Thickness]]), "Zenith", "")</f>
        <v>Zenith</v>
      </c>
      <c r="S557">
        <v>6</v>
      </c>
      <c r="T557">
        <v>200</v>
      </c>
    </row>
    <row r="558" spans="1:20" x14ac:dyDescent="0.85">
      <c r="A558" s="433" t="s">
        <v>458</v>
      </c>
      <c r="B558" s="429" t="s">
        <v>224</v>
      </c>
      <c r="C558" s="434">
        <v>63</v>
      </c>
      <c r="D558" s="434"/>
      <c r="E558" s="430" t="s">
        <v>757</v>
      </c>
      <c r="F558" s="435">
        <v>4</v>
      </c>
      <c r="G558" s="435">
        <v>1400</v>
      </c>
      <c r="H558" s="435">
        <v>10000</v>
      </c>
      <c r="I558" s="431" t="s">
        <v>777</v>
      </c>
      <c r="J558" s="432" t="s">
        <v>787</v>
      </c>
      <c r="K558" s="432">
        <v>-30</v>
      </c>
      <c r="L558" s="432">
        <v>70</v>
      </c>
      <c r="M558" s="432" t="s">
        <v>779</v>
      </c>
      <c r="N558" s="432">
        <v>60</v>
      </c>
      <c r="O558" s="431" t="s">
        <v>168</v>
      </c>
      <c r="P558" s="431" t="s">
        <v>168</v>
      </c>
      <c r="Q558" s="434">
        <f>C558*((100-Discounts!$B$36)/100)</f>
        <v>25.200000000000003</v>
      </c>
      <c r="R558" t="str">
        <f>IF(ISNUMBER(Table3[[#This Row],[Thickness]]), "Zenith", "")</f>
        <v>Zenith</v>
      </c>
      <c r="S558">
        <v>6</v>
      </c>
      <c r="T558">
        <v>200</v>
      </c>
    </row>
    <row r="559" spans="1:20" x14ac:dyDescent="0.85">
      <c r="A559" s="429" t="s">
        <v>459</v>
      </c>
      <c r="B559" s="429" t="s">
        <v>224</v>
      </c>
      <c r="C559" s="430">
        <v>77.5</v>
      </c>
      <c r="D559" s="430"/>
      <c r="E559" s="430" t="s">
        <v>757</v>
      </c>
      <c r="F559" s="431">
        <v>5</v>
      </c>
      <c r="G559" s="431">
        <v>1400</v>
      </c>
      <c r="H559" s="431">
        <v>10000</v>
      </c>
      <c r="I559" s="431" t="s">
        <v>777</v>
      </c>
      <c r="J559" s="432" t="s">
        <v>787</v>
      </c>
      <c r="K559" s="432">
        <v>-30</v>
      </c>
      <c r="L559" s="432">
        <v>70</v>
      </c>
      <c r="M559" s="432" t="s">
        <v>779</v>
      </c>
      <c r="N559" s="432">
        <v>60</v>
      </c>
      <c r="O559" s="431" t="s">
        <v>168</v>
      </c>
      <c r="P559" s="431" t="s">
        <v>168</v>
      </c>
      <c r="Q559" s="430">
        <f>C559*((100-Discounts!$B$36)/100)</f>
        <v>31</v>
      </c>
      <c r="R559" t="str">
        <f>IF(ISNUMBER(Table3[[#This Row],[Thickness]]), "Zenith", "")</f>
        <v>Zenith</v>
      </c>
      <c r="S559">
        <v>6</v>
      </c>
      <c r="T559">
        <v>200</v>
      </c>
    </row>
    <row r="560" spans="1:20" x14ac:dyDescent="0.85">
      <c r="A560" s="433" t="s">
        <v>460</v>
      </c>
      <c r="B560" s="429" t="s">
        <v>224</v>
      </c>
      <c r="C560" s="434">
        <v>92.25</v>
      </c>
      <c r="D560" s="434"/>
      <c r="E560" s="430" t="s">
        <v>757</v>
      </c>
      <c r="F560" s="435">
        <v>6</v>
      </c>
      <c r="G560" s="435">
        <v>1400</v>
      </c>
      <c r="H560" s="435">
        <v>10000</v>
      </c>
      <c r="I560" s="431" t="s">
        <v>777</v>
      </c>
      <c r="J560" s="432" t="s">
        <v>787</v>
      </c>
      <c r="K560" s="432">
        <v>-30</v>
      </c>
      <c r="L560" s="432">
        <v>70</v>
      </c>
      <c r="M560" s="432" t="s">
        <v>779</v>
      </c>
      <c r="N560" s="432">
        <v>60</v>
      </c>
      <c r="O560" s="431" t="s">
        <v>168</v>
      </c>
      <c r="P560" s="431" t="s">
        <v>168</v>
      </c>
      <c r="Q560" s="434">
        <f>C560*((100-Discounts!$B$36)/100)</f>
        <v>36.9</v>
      </c>
      <c r="R560" t="str">
        <f>IF(ISNUMBER(Table3[[#This Row],[Thickness]]), "Zenith", "")</f>
        <v>Zenith</v>
      </c>
      <c r="S560">
        <v>6</v>
      </c>
      <c r="T560">
        <v>200</v>
      </c>
    </row>
    <row r="561" spans="1:20" x14ac:dyDescent="0.85">
      <c r="A561" s="429" t="s">
        <v>461</v>
      </c>
      <c r="B561" s="429" t="s">
        <v>224</v>
      </c>
      <c r="C561" s="430">
        <v>121.75</v>
      </c>
      <c r="D561" s="430"/>
      <c r="E561" s="430" t="s">
        <v>757</v>
      </c>
      <c r="F561" s="431">
        <v>8</v>
      </c>
      <c r="G561" s="431">
        <v>1400</v>
      </c>
      <c r="H561" s="431">
        <v>5000</v>
      </c>
      <c r="I561" s="431" t="s">
        <v>777</v>
      </c>
      <c r="J561" s="432" t="s">
        <v>787</v>
      </c>
      <c r="K561" s="432">
        <v>-30</v>
      </c>
      <c r="L561" s="432">
        <v>70</v>
      </c>
      <c r="M561" s="432" t="s">
        <v>779</v>
      </c>
      <c r="N561" s="432">
        <v>60</v>
      </c>
      <c r="O561" s="431" t="s">
        <v>168</v>
      </c>
      <c r="P561" s="431" t="s">
        <v>168</v>
      </c>
      <c r="Q561" s="430">
        <f>C561*((100-Discounts!$B$36)/100)</f>
        <v>48.7</v>
      </c>
      <c r="R561" t="str">
        <f>IF(ISNUMBER(Table3[[#This Row],[Thickness]]), "Zenith", "")</f>
        <v>Zenith</v>
      </c>
      <c r="S561">
        <v>6</v>
      </c>
      <c r="T561">
        <v>200</v>
      </c>
    </row>
    <row r="562" spans="1:20" x14ac:dyDescent="0.85">
      <c r="A562" s="433" t="s">
        <v>462</v>
      </c>
      <c r="B562" s="429" t="s">
        <v>224</v>
      </c>
      <c r="C562" s="434">
        <v>149.75</v>
      </c>
      <c r="D562" s="434"/>
      <c r="E562" s="430" t="s">
        <v>757</v>
      </c>
      <c r="F562" s="435">
        <v>10</v>
      </c>
      <c r="G562" s="435">
        <v>1400</v>
      </c>
      <c r="H562" s="435">
        <v>5000</v>
      </c>
      <c r="I562" s="431" t="s">
        <v>777</v>
      </c>
      <c r="J562" s="432" t="s">
        <v>787</v>
      </c>
      <c r="K562" s="432">
        <v>-30</v>
      </c>
      <c r="L562" s="432">
        <v>70</v>
      </c>
      <c r="M562" s="432" t="s">
        <v>779</v>
      </c>
      <c r="N562" s="432">
        <v>60</v>
      </c>
      <c r="O562" s="431" t="s">
        <v>168</v>
      </c>
      <c r="P562" s="431" t="s">
        <v>168</v>
      </c>
      <c r="Q562" s="434">
        <f>C562*((100-Discounts!$B$36)/100)</f>
        <v>59.900000000000006</v>
      </c>
      <c r="R562" t="str">
        <f>IF(ISNUMBER(Table3[[#This Row],[Thickness]]), "Zenith", "")</f>
        <v>Zenith</v>
      </c>
      <c r="S562">
        <v>6</v>
      </c>
      <c r="T562">
        <v>200</v>
      </c>
    </row>
    <row r="563" spans="1:20" x14ac:dyDescent="0.85">
      <c r="A563" s="429" t="s">
        <v>463</v>
      </c>
      <c r="B563" s="429" t="s">
        <v>224</v>
      </c>
      <c r="C563" s="430">
        <v>220.25</v>
      </c>
      <c r="D563" s="430"/>
      <c r="E563" s="430" t="s">
        <v>757</v>
      </c>
      <c r="F563" s="431">
        <v>15</v>
      </c>
      <c r="G563" s="431">
        <v>1400</v>
      </c>
      <c r="H563" s="431">
        <v>5000</v>
      </c>
      <c r="I563" s="431" t="s">
        <v>777</v>
      </c>
      <c r="J563" s="432" t="s">
        <v>787</v>
      </c>
      <c r="K563" s="432">
        <v>-30</v>
      </c>
      <c r="L563" s="432">
        <v>70</v>
      </c>
      <c r="M563" s="432" t="s">
        <v>779</v>
      </c>
      <c r="N563" s="432">
        <v>60</v>
      </c>
      <c r="O563" s="431" t="s">
        <v>168</v>
      </c>
      <c r="P563" s="431" t="s">
        <v>168</v>
      </c>
      <c r="Q563" s="430">
        <f>C563*((100-Discounts!$B$36)/100)</f>
        <v>88.100000000000009</v>
      </c>
      <c r="R563" t="str">
        <f>IF(ISNUMBER(Table3[[#This Row],[Thickness]]), "Zenith", "")</f>
        <v>Zenith</v>
      </c>
      <c r="S563">
        <v>6</v>
      </c>
      <c r="T563">
        <v>200</v>
      </c>
    </row>
    <row r="564" spans="1:20" ht="27" thickBot="1" x14ac:dyDescent="0.9">
      <c r="A564" s="389"/>
      <c r="B564" s="390"/>
      <c r="C564" s="391"/>
      <c r="D564" s="391"/>
      <c r="E564" s="391"/>
      <c r="F564" s="392" t="s">
        <v>225</v>
      </c>
      <c r="G564" s="392">
        <v>0</v>
      </c>
      <c r="H564" s="333">
        <v>0</v>
      </c>
      <c r="I564" s="217" t="s">
        <v>777</v>
      </c>
      <c r="M564" s="348"/>
      <c r="N564" s="343"/>
      <c r="O564" s="217" t="s">
        <v>168</v>
      </c>
      <c r="P564" s="385" t="s">
        <v>168</v>
      </c>
      <c r="Q564" s="393" t="s">
        <v>323</v>
      </c>
      <c r="R564" t="str">
        <f>IF(ISNUMBER(Table3[[#This Row],[Thickness]]), "Zenith", "")</f>
        <v/>
      </c>
    </row>
    <row r="565" spans="1:20" ht="27" thickTop="1" x14ac:dyDescent="0.85">
      <c r="A565" s="429" t="s">
        <v>464</v>
      </c>
      <c r="B565" s="429" t="s">
        <v>225</v>
      </c>
      <c r="C565" s="430">
        <v>20</v>
      </c>
      <c r="D565" s="430"/>
      <c r="E565" s="430" t="s">
        <v>757</v>
      </c>
      <c r="F565" s="431">
        <v>1</v>
      </c>
      <c r="G565" s="431">
        <v>1400</v>
      </c>
      <c r="H565" s="431">
        <v>20000</v>
      </c>
      <c r="I565" s="431" t="s">
        <v>777</v>
      </c>
      <c r="J565" s="432" t="s">
        <v>788</v>
      </c>
      <c r="K565" s="432">
        <v>-25</v>
      </c>
      <c r="L565" s="432">
        <v>110</v>
      </c>
      <c r="M565" s="432" t="s">
        <v>779</v>
      </c>
      <c r="N565" s="432">
        <v>60</v>
      </c>
      <c r="O565" s="431" t="s">
        <v>168</v>
      </c>
      <c r="P565" s="431" t="s">
        <v>168</v>
      </c>
      <c r="Q565" s="430">
        <f>C565*((100-Discounts!$B$37)/100)</f>
        <v>8</v>
      </c>
      <c r="R565" t="str">
        <f>IF(ISNUMBER(Table3[[#This Row],[Thickness]]), "Zenith", "")</f>
        <v>Zenith</v>
      </c>
      <c r="S565">
        <v>6</v>
      </c>
      <c r="T565">
        <v>350</v>
      </c>
    </row>
    <row r="566" spans="1:20" x14ac:dyDescent="0.85">
      <c r="A566" s="433" t="s">
        <v>465</v>
      </c>
      <c r="B566" s="429" t="s">
        <v>225</v>
      </c>
      <c r="C566" s="434">
        <v>35.25</v>
      </c>
      <c r="D566" s="434"/>
      <c r="E566" s="430" t="s">
        <v>757</v>
      </c>
      <c r="F566" s="435">
        <v>2</v>
      </c>
      <c r="G566" s="435">
        <v>1400</v>
      </c>
      <c r="H566" s="435">
        <v>10000</v>
      </c>
      <c r="I566" s="431" t="s">
        <v>777</v>
      </c>
      <c r="J566" s="432" t="s">
        <v>788</v>
      </c>
      <c r="K566" s="432">
        <v>-25</v>
      </c>
      <c r="L566" s="432">
        <v>110</v>
      </c>
      <c r="M566" s="432" t="s">
        <v>779</v>
      </c>
      <c r="N566" s="432">
        <v>60</v>
      </c>
      <c r="O566" s="431" t="s">
        <v>168</v>
      </c>
      <c r="P566" s="431" t="s">
        <v>168</v>
      </c>
      <c r="Q566" s="434">
        <f>C566*((100-Discounts!$B$37)/100)</f>
        <v>14.100000000000001</v>
      </c>
      <c r="R566" t="str">
        <f>IF(ISNUMBER(Table3[[#This Row],[Thickness]]), "Zenith", "")</f>
        <v>Zenith</v>
      </c>
      <c r="S566">
        <v>6</v>
      </c>
      <c r="T566">
        <v>350</v>
      </c>
    </row>
    <row r="567" spans="1:20" x14ac:dyDescent="0.85">
      <c r="A567" s="429" t="s">
        <v>466</v>
      </c>
      <c r="B567" s="429" t="s">
        <v>225</v>
      </c>
      <c r="C567" s="430">
        <v>49.75</v>
      </c>
      <c r="D567" s="430"/>
      <c r="E567" s="430" t="s">
        <v>757</v>
      </c>
      <c r="F567" s="431">
        <v>3</v>
      </c>
      <c r="G567" s="431">
        <v>1400</v>
      </c>
      <c r="H567" s="431">
        <v>10000</v>
      </c>
      <c r="I567" s="431" t="s">
        <v>777</v>
      </c>
      <c r="J567" s="432" t="s">
        <v>788</v>
      </c>
      <c r="K567" s="432">
        <v>-25</v>
      </c>
      <c r="L567" s="432">
        <v>110</v>
      </c>
      <c r="M567" s="432" t="s">
        <v>779</v>
      </c>
      <c r="N567" s="432">
        <v>60</v>
      </c>
      <c r="O567" s="431" t="s">
        <v>168</v>
      </c>
      <c r="P567" s="431" t="s">
        <v>168</v>
      </c>
      <c r="Q567" s="430">
        <f>C567*((100-Discounts!$B$37)/100)</f>
        <v>19.900000000000002</v>
      </c>
      <c r="R567" t="str">
        <f>IF(ISNUMBER(Table3[[#This Row],[Thickness]]), "Zenith", "")</f>
        <v>Zenith</v>
      </c>
      <c r="S567">
        <v>6</v>
      </c>
      <c r="T567">
        <v>350</v>
      </c>
    </row>
    <row r="568" spans="1:20" x14ac:dyDescent="0.85">
      <c r="A568" s="433" t="s">
        <v>467</v>
      </c>
      <c r="B568" s="429" t="s">
        <v>225</v>
      </c>
      <c r="C568" s="434">
        <v>66.5</v>
      </c>
      <c r="D568" s="434"/>
      <c r="E568" s="430" t="s">
        <v>757</v>
      </c>
      <c r="F568" s="435">
        <v>4</v>
      </c>
      <c r="G568" s="435">
        <v>1400</v>
      </c>
      <c r="H568" s="435">
        <v>10000</v>
      </c>
      <c r="I568" s="431" t="s">
        <v>777</v>
      </c>
      <c r="J568" s="432" t="s">
        <v>788</v>
      </c>
      <c r="K568" s="432">
        <v>-25</v>
      </c>
      <c r="L568" s="432">
        <v>110</v>
      </c>
      <c r="M568" s="432" t="s">
        <v>779</v>
      </c>
      <c r="N568" s="432">
        <v>60</v>
      </c>
      <c r="O568" s="431" t="s">
        <v>168</v>
      </c>
      <c r="P568" s="431" t="s">
        <v>168</v>
      </c>
      <c r="Q568" s="434">
        <f>C568*((100-Discounts!$B$37)/100)</f>
        <v>26.6</v>
      </c>
      <c r="R568" t="str">
        <f>IF(ISNUMBER(Table3[[#This Row],[Thickness]]), "Zenith", "")</f>
        <v>Zenith</v>
      </c>
      <c r="S568">
        <v>6</v>
      </c>
      <c r="T568">
        <v>350</v>
      </c>
    </row>
    <row r="569" spans="1:20" x14ac:dyDescent="0.85">
      <c r="A569" s="429" t="s">
        <v>468</v>
      </c>
      <c r="B569" s="429" t="s">
        <v>225</v>
      </c>
      <c r="C569" s="430">
        <v>81.25</v>
      </c>
      <c r="D569" s="430"/>
      <c r="E569" s="430" t="s">
        <v>757</v>
      </c>
      <c r="F569" s="431">
        <v>5</v>
      </c>
      <c r="G569" s="431">
        <v>1400</v>
      </c>
      <c r="H569" s="431">
        <v>10000</v>
      </c>
      <c r="I569" s="431" t="s">
        <v>777</v>
      </c>
      <c r="J569" s="432" t="s">
        <v>788</v>
      </c>
      <c r="K569" s="432">
        <v>-25</v>
      </c>
      <c r="L569" s="432">
        <v>110</v>
      </c>
      <c r="M569" s="432" t="s">
        <v>779</v>
      </c>
      <c r="N569" s="432">
        <v>60</v>
      </c>
      <c r="O569" s="431" t="s">
        <v>168</v>
      </c>
      <c r="P569" s="431" t="s">
        <v>168</v>
      </c>
      <c r="Q569" s="430">
        <f>C569*((100-Discounts!$B$37)/100)</f>
        <v>32.5</v>
      </c>
      <c r="R569" t="str">
        <f>IF(ISNUMBER(Table3[[#This Row],[Thickness]]), "Zenith", "")</f>
        <v>Zenith</v>
      </c>
      <c r="S569">
        <v>6</v>
      </c>
      <c r="T569">
        <v>350</v>
      </c>
    </row>
    <row r="570" spans="1:20" x14ac:dyDescent="0.85">
      <c r="A570" s="433" t="s">
        <v>469</v>
      </c>
      <c r="B570" s="429" t="s">
        <v>225</v>
      </c>
      <c r="C570" s="434">
        <v>96.75</v>
      </c>
      <c r="D570" s="434"/>
      <c r="E570" s="430" t="s">
        <v>757</v>
      </c>
      <c r="F570" s="435">
        <v>6</v>
      </c>
      <c r="G570" s="435">
        <v>1400</v>
      </c>
      <c r="H570" s="435">
        <v>10000</v>
      </c>
      <c r="I570" s="431" t="s">
        <v>777</v>
      </c>
      <c r="J570" s="432" t="s">
        <v>788</v>
      </c>
      <c r="K570" s="432">
        <v>-25</v>
      </c>
      <c r="L570" s="432">
        <v>110</v>
      </c>
      <c r="M570" s="432" t="s">
        <v>779</v>
      </c>
      <c r="N570" s="432">
        <v>60</v>
      </c>
      <c r="O570" s="431" t="s">
        <v>168</v>
      </c>
      <c r="P570" s="431" t="s">
        <v>168</v>
      </c>
      <c r="Q570" s="434">
        <f>C570*((100-Discounts!$B$37)/100)</f>
        <v>38.700000000000003</v>
      </c>
      <c r="R570" t="str">
        <f>IF(ISNUMBER(Table3[[#This Row],[Thickness]]), "Zenith", "")</f>
        <v>Zenith</v>
      </c>
      <c r="S570">
        <v>6</v>
      </c>
      <c r="T570">
        <v>350</v>
      </c>
    </row>
    <row r="571" spans="1:20" x14ac:dyDescent="0.85">
      <c r="A571" s="429" t="s">
        <v>470</v>
      </c>
      <c r="B571" s="429" t="s">
        <v>225</v>
      </c>
      <c r="C571" s="430">
        <v>127.5</v>
      </c>
      <c r="D571" s="430"/>
      <c r="E571" s="430" t="s">
        <v>757</v>
      </c>
      <c r="F571" s="431">
        <v>8</v>
      </c>
      <c r="G571" s="431">
        <v>1400</v>
      </c>
      <c r="H571" s="431">
        <v>5000</v>
      </c>
      <c r="I571" s="431" t="s">
        <v>777</v>
      </c>
      <c r="J571" s="432" t="s">
        <v>788</v>
      </c>
      <c r="K571" s="432">
        <v>-25</v>
      </c>
      <c r="L571" s="432">
        <v>110</v>
      </c>
      <c r="M571" s="432" t="s">
        <v>779</v>
      </c>
      <c r="N571" s="432">
        <v>60</v>
      </c>
      <c r="O571" s="431" t="s">
        <v>168</v>
      </c>
      <c r="P571" s="431" t="s">
        <v>168</v>
      </c>
      <c r="Q571" s="430">
        <f>C571*((100-Discounts!$B$37)/100)</f>
        <v>51</v>
      </c>
      <c r="R571" t="str">
        <f>IF(ISNUMBER(Table3[[#This Row],[Thickness]]), "Zenith", "")</f>
        <v>Zenith</v>
      </c>
      <c r="S571">
        <v>6</v>
      </c>
      <c r="T571">
        <v>350</v>
      </c>
    </row>
    <row r="572" spans="1:20" x14ac:dyDescent="0.85">
      <c r="A572" s="433" t="s">
        <v>471</v>
      </c>
      <c r="B572" s="429" t="s">
        <v>225</v>
      </c>
      <c r="C572" s="434">
        <v>157.75</v>
      </c>
      <c r="D572" s="434"/>
      <c r="E572" s="430" t="s">
        <v>757</v>
      </c>
      <c r="F572" s="435">
        <v>10</v>
      </c>
      <c r="G572" s="435">
        <v>1400</v>
      </c>
      <c r="H572" s="435">
        <v>5000</v>
      </c>
      <c r="I572" s="431" t="s">
        <v>777</v>
      </c>
      <c r="J572" s="432" t="s">
        <v>788</v>
      </c>
      <c r="K572" s="432">
        <v>-25</v>
      </c>
      <c r="L572" s="432">
        <v>110</v>
      </c>
      <c r="M572" s="432" t="s">
        <v>779</v>
      </c>
      <c r="N572" s="432">
        <v>60</v>
      </c>
      <c r="O572" s="431" t="s">
        <v>168</v>
      </c>
      <c r="P572" s="431" t="s">
        <v>168</v>
      </c>
      <c r="Q572" s="434">
        <f>C572*((100-Discounts!$B$37)/100)</f>
        <v>63.1</v>
      </c>
      <c r="R572" t="str">
        <f>IF(ISNUMBER(Table3[[#This Row],[Thickness]]), "Zenith", "")</f>
        <v>Zenith</v>
      </c>
      <c r="S572">
        <v>6</v>
      </c>
      <c r="T572">
        <v>350</v>
      </c>
    </row>
    <row r="573" spans="1:20" ht="27" thickBot="1" x14ac:dyDescent="0.9">
      <c r="A573" s="389"/>
      <c r="B573" s="390"/>
      <c r="C573" s="391"/>
      <c r="D573" s="391"/>
      <c r="E573" s="391"/>
      <c r="F573" s="392" t="s">
        <v>226</v>
      </c>
      <c r="G573" s="392">
        <v>0</v>
      </c>
      <c r="H573" s="333">
        <v>0</v>
      </c>
      <c r="I573" s="217" t="s">
        <v>777</v>
      </c>
      <c r="M573" s="352"/>
      <c r="N573" s="349"/>
      <c r="O573" s="217" t="s">
        <v>168</v>
      </c>
      <c r="P573" s="385" t="s">
        <v>168</v>
      </c>
      <c r="Q573" s="393" t="s">
        <v>323</v>
      </c>
      <c r="R573" t="str">
        <f>IF(ISNUMBER(Table3[[#This Row],[Thickness]]), "Zenith", "")</f>
        <v/>
      </c>
    </row>
    <row r="574" spans="1:20" ht="27" thickTop="1" x14ac:dyDescent="0.85">
      <c r="A574" s="429" t="s">
        <v>472</v>
      </c>
      <c r="B574" s="429" t="s">
        <v>226</v>
      </c>
      <c r="C574" s="430">
        <v>19.75</v>
      </c>
      <c r="D574" s="430"/>
      <c r="E574" s="430" t="s">
        <v>757</v>
      </c>
      <c r="F574" s="431">
        <v>1</v>
      </c>
      <c r="G574" s="431">
        <v>1400</v>
      </c>
      <c r="H574" s="431">
        <v>20000</v>
      </c>
      <c r="I574" s="431" t="s">
        <v>777</v>
      </c>
      <c r="J574" s="432" t="s">
        <v>789</v>
      </c>
      <c r="K574" s="432">
        <v>-25</v>
      </c>
      <c r="L574" s="432">
        <v>140</v>
      </c>
      <c r="M574" s="432" t="s">
        <v>779</v>
      </c>
      <c r="N574" s="432">
        <v>60</v>
      </c>
      <c r="O574" s="431" t="s">
        <v>168</v>
      </c>
      <c r="P574" s="431" t="s">
        <v>168</v>
      </c>
      <c r="Q574" s="430">
        <f>C574*((100-Discounts!$B$38)/100)</f>
        <v>7.9</v>
      </c>
      <c r="R574" t="str">
        <f>IF(ISNUMBER(Table3[[#This Row],[Thickness]]), "Zenith", "")</f>
        <v>Zenith</v>
      </c>
      <c r="S574">
        <v>5</v>
      </c>
      <c r="T574">
        <v>300</v>
      </c>
    </row>
    <row r="575" spans="1:20" x14ac:dyDescent="0.85">
      <c r="A575" s="433" t="s">
        <v>473</v>
      </c>
      <c r="B575" s="429" t="s">
        <v>226</v>
      </c>
      <c r="C575" s="434">
        <v>27.75</v>
      </c>
      <c r="D575" s="434"/>
      <c r="E575" s="430" t="s">
        <v>757</v>
      </c>
      <c r="F575" s="435">
        <v>1.5</v>
      </c>
      <c r="G575" s="435">
        <v>1400</v>
      </c>
      <c r="H575" s="435">
        <v>15000</v>
      </c>
      <c r="I575" s="431" t="s">
        <v>777</v>
      </c>
      <c r="J575" s="432" t="s">
        <v>789</v>
      </c>
      <c r="K575" s="432">
        <v>-25</v>
      </c>
      <c r="L575" s="432">
        <v>140</v>
      </c>
      <c r="M575" s="432" t="s">
        <v>779</v>
      </c>
      <c r="N575" s="432">
        <v>60</v>
      </c>
      <c r="O575" s="431" t="s">
        <v>168</v>
      </c>
      <c r="P575" s="431" t="s">
        <v>168</v>
      </c>
      <c r="Q575" s="434">
        <f>C575*((100-Discounts!$B$38)/100)</f>
        <v>11.100000000000001</v>
      </c>
      <c r="R575" t="str">
        <f>IF(ISNUMBER(Table3[[#This Row],[Thickness]]), "Zenith", "")</f>
        <v>Zenith</v>
      </c>
      <c r="S575">
        <v>5</v>
      </c>
      <c r="T575">
        <v>300</v>
      </c>
    </row>
    <row r="576" spans="1:20" x14ac:dyDescent="0.85">
      <c r="A576" s="429" t="s">
        <v>474</v>
      </c>
      <c r="B576" s="429" t="s">
        <v>226</v>
      </c>
      <c r="C576" s="430">
        <v>35.5</v>
      </c>
      <c r="D576" s="430"/>
      <c r="E576" s="430" t="s">
        <v>757</v>
      </c>
      <c r="F576" s="431">
        <v>2</v>
      </c>
      <c r="G576" s="431">
        <v>1400</v>
      </c>
      <c r="H576" s="431">
        <v>10000</v>
      </c>
      <c r="I576" s="431" t="s">
        <v>777</v>
      </c>
      <c r="J576" s="432" t="s">
        <v>789</v>
      </c>
      <c r="K576" s="432">
        <v>-25</v>
      </c>
      <c r="L576" s="432">
        <v>140</v>
      </c>
      <c r="M576" s="432" t="s">
        <v>779</v>
      </c>
      <c r="N576" s="432">
        <v>60</v>
      </c>
      <c r="O576" s="431" t="s">
        <v>168</v>
      </c>
      <c r="P576" s="431" t="s">
        <v>168</v>
      </c>
      <c r="Q576" s="430">
        <f>C576*((100-Discounts!$B$38)/100)</f>
        <v>14.200000000000001</v>
      </c>
      <c r="R576" t="str">
        <f>IF(ISNUMBER(Table3[[#This Row],[Thickness]]), "Zenith", "")</f>
        <v>Zenith</v>
      </c>
      <c r="S576">
        <v>5</v>
      </c>
      <c r="T576">
        <v>300</v>
      </c>
    </row>
    <row r="577" spans="1:20" x14ac:dyDescent="0.85">
      <c r="A577" s="433" t="s">
        <v>475</v>
      </c>
      <c r="B577" s="429" t="s">
        <v>226</v>
      </c>
      <c r="C577" s="434">
        <v>50.25</v>
      </c>
      <c r="D577" s="434"/>
      <c r="E577" s="430" t="s">
        <v>757</v>
      </c>
      <c r="F577" s="435">
        <v>3</v>
      </c>
      <c r="G577" s="435">
        <v>1400</v>
      </c>
      <c r="H577" s="435">
        <v>10000</v>
      </c>
      <c r="I577" s="431" t="s">
        <v>777</v>
      </c>
      <c r="J577" s="432" t="s">
        <v>789</v>
      </c>
      <c r="K577" s="432">
        <v>-25</v>
      </c>
      <c r="L577" s="432">
        <v>140</v>
      </c>
      <c r="M577" s="432" t="s">
        <v>779</v>
      </c>
      <c r="N577" s="432">
        <v>60</v>
      </c>
      <c r="O577" s="431" t="s">
        <v>168</v>
      </c>
      <c r="P577" s="431" t="s">
        <v>168</v>
      </c>
      <c r="Q577" s="434">
        <f>C577*((100-Discounts!$B$38)/100)</f>
        <v>20.100000000000001</v>
      </c>
      <c r="R577" t="str">
        <f>IF(ISNUMBER(Table3[[#This Row],[Thickness]]), "Zenith", "")</f>
        <v>Zenith</v>
      </c>
      <c r="S577">
        <v>5</v>
      </c>
      <c r="T577">
        <v>300</v>
      </c>
    </row>
    <row r="578" spans="1:20" x14ac:dyDescent="0.85">
      <c r="A578" s="429" t="s">
        <v>476</v>
      </c>
      <c r="B578" s="429" t="s">
        <v>226</v>
      </c>
      <c r="C578" s="430">
        <v>66.5</v>
      </c>
      <c r="D578" s="430"/>
      <c r="E578" s="430" t="s">
        <v>757</v>
      </c>
      <c r="F578" s="431">
        <v>4</v>
      </c>
      <c r="G578" s="431">
        <v>1400</v>
      </c>
      <c r="H578" s="431">
        <v>10000</v>
      </c>
      <c r="I578" s="431" t="s">
        <v>777</v>
      </c>
      <c r="J578" s="432" t="s">
        <v>789</v>
      </c>
      <c r="K578" s="432">
        <v>-25</v>
      </c>
      <c r="L578" s="432">
        <v>140</v>
      </c>
      <c r="M578" s="432" t="s">
        <v>779</v>
      </c>
      <c r="N578" s="432">
        <v>60</v>
      </c>
      <c r="O578" s="431" t="s">
        <v>168</v>
      </c>
      <c r="P578" s="431" t="s">
        <v>168</v>
      </c>
      <c r="Q578" s="430">
        <f>C578*((100-Discounts!$B$38)/100)</f>
        <v>26.6</v>
      </c>
      <c r="R578" t="str">
        <f>IF(ISNUMBER(Table3[[#This Row],[Thickness]]), "Zenith", "")</f>
        <v>Zenith</v>
      </c>
      <c r="S578">
        <v>5</v>
      </c>
      <c r="T578">
        <v>300</v>
      </c>
    </row>
    <row r="579" spans="1:20" x14ac:dyDescent="0.85">
      <c r="A579" s="433" t="s">
        <v>477</v>
      </c>
      <c r="B579" s="429" t="s">
        <v>226</v>
      </c>
      <c r="C579" s="434">
        <v>82.5</v>
      </c>
      <c r="D579" s="434"/>
      <c r="E579" s="430" t="s">
        <v>757</v>
      </c>
      <c r="F579" s="435">
        <v>5</v>
      </c>
      <c r="G579" s="435">
        <v>1400</v>
      </c>
      <c r="H579" s="435">
        <v>10000</v>
      </c>
      <c r="I579" s="431" t="s">
        <v>777</v>
      </c>
      <c r="J579" s="432" t="s">
        <v>789</v>
      </c>
      <c r="K579" s="432">
        <v>-25</v>
      </c>
      <c r="L579" s="432">
        <v>140</v>
      </c>
      <c r="M579" s="432" t="s">
        <v>779</v>
      </c>
      <c r="N579" s="432">
        <v>60</v>
      </c>
      <c r="O579" s="431" t="s">
        <v>168</v>
      </c>
      <c r="P579" s="431" t="s">
        <v>168</v>
      </c>
      <c r="Q579" s="434">
        <f>C579*((100-Discounts!$B$38)/100)</f>
        <v>33</v>
      </c>
      <c r="R579" t="str">
        <f>IF(ISNUMBER(Table3[[#This Row],[Thickness]]), "Zenith", "")</f>
        <v>Zenith</v>
      </c>
      <c r="S579">
        <v>5</v>
      </c>
      <c r="T579">
        <v>300</v>
      </c>
    </row>
    <row r="580" spans="1:20" x14ac:dyDescent="0.85">
      <c r="A580" s="429" t="s">
        <v>478</v>
      </c>
      <c r="B580" s="429" t="s">
        <v>226</v>
      </c>
      <c r="C580" s="430">
        <v>98</v>
      </c>
      <c r="D580" s="430"/>
      <c r="E580" s="430" t="s">
        <v>757</v>
      </c>
      <c r="F580" s="431">
        <v>6</v>
      </c>
      <c r="G580" s="431">
        <v>1400</v>
      </c>
      <c r="H580" s="431">
        <v>10000</v>
      </c>
      <c r="I580" s="431" t="s">
        <v>777</v>
      </c>
      <c r="J580" s="432" t="s">
        <v>789</v>
      </c>
      <c r="K580" s="432">
        <v>-25</v>
      </c>
      <c r="L580" s="432">
        <v>140</v>
      </c>
      <c r="M580" s="432" t="s">
        <v>779</v>
      </c>
      <c r="N580" s="432">
        <v>60</v>
      </c>
      <c r="O580" s="431" t="s">
        <v>168</v>
      </c>
      <c r="P580" s="431" t="s">
        <v>168</v>
      </c>
      <c r="Q580" s="430">
        <f>C580*((100-Discounts!$B$38)/100)</f>
        <v>39.200000000000003</v>
      </c>
      <c r="R580" t="str">
        <f>IF(ISNUMBER(Table3[[#This Row],[Thickness]]), "Zenith", "")</f>
        <v>Zenith</v>
      </c>
      <c r="S580">
        <v>5</v>
      </c>
      <c r="T580">
        <v>300</v>
      </c>
    </row>
    <row r="581" spans="1:20" x14ac:dyDescent="0.85">
      <c r="A581" s="433" t="s">
        <v>479</v>
      </c>
      <c r="B581" s="429" t="s">
        <v>226</v>
      </c>
      <c r="C581" s="434">
        <v>129.5</v>
      </c>
      <c r="D581" s="434"/>
      <c r="E581" s="430" t="s">
        <v>757</v>
      </c>
      <c r="F581" s="435">
        <v>8</v>
      </c>
      <c r="G581" s="435">
        <v>1400</v>
      </c>
      <c r="H581" s="435">
        <v>5000</v>
      </c>
      <c r="I581" s="431" t="s">
        <v>777</v>
      </c>
      <c r="J581" s="432" t="s">
        <v>789</v>
      </c>
      <c r="K581" s="432">
        <v>-25</v>
      </c>
      <c r="L581" s="432">
        <v>140</v>
      </c>
      <c r="M581" s="432" t="s">
        <v>779</v>
      </c>
      <c r="N581" s="432">
        <v>60</v>
      </c>
      <c r="O581" s="431" t="s">
        <v>168</v>
      </c>
      <c r="P581" s="431" t="s">
        <v>168</v>
      </c>
      <c r="Q581" s="434">
        <f>C581*((100-Discounts!$B$38)/100)</f>
        <v>51.800000000000004</v>
      </c>
      <c r="R581" t="str">
        <f>IF(ISNUMBER(Table3[[#This Row],[Thickness]]), "Zenith", "")</f>
        <v>Zenith</v>
      </c>
      <c r="S581">
        <v>5</v>
      </c>
      <c r="T581">
        <v>300</v>
      </c>
    </row>
    <row r="582" spans="1:20" x14ac:dyDescent="0.85">
      <c r="A582" s="429" t="s">
        <v>480</v>
      </c>
      <c r="B582" s="429" t="s">
        <v>226</v>
      </c>
      <c r="C582" s="430">
        <v>160.75</v>
      </c>
      <c r="D582" s="430"/>
      <c r="E582" s="430" t="s">
        <v>757</v>
      </c>
      <c r="F582" s="431">
        <v>10</v>
      </c>
      <c r="G582" s="431">
        <v>1400</v>
      </c>
      <c r="H582" s="431">
        <v>5000</v>
      </c>
      <c r="I582" s="431" t="s">
        <v>777</v>
      </c>
      <c r="J582" s="432" t="s">
        <v>789</v>
      </c>
      <c r="K582" s="432">
        <v>-25</v>
      </c>
      <c r="L582" s="432">
        <v>140</v>
      </c>
      <c r="M582" s="432" t="s">
        <v>779</v>
      </c>
      <c r="N582" s="432">
        <v>60</v>
      </c>
      <c r="O582" s="431" t="s">
        <v>168</v>
      </c>
      <c r="P582" s="431" t="s">
        <v>168</v>
      </c>
      <c r="Q582" s="430">
        <f>C582*((100-Discounts!$B$38)/100)</f>
        <v>64.3</v>
      </c>
      <c r="R582" t="str">
        <f>IF(ISNUMBER(Table3[[#This Row],[Thickness]]), "Zenith", "")</f>
        <v>Zenith</v>
      </c>
      <c r="S582">
        <v>5</v>
      </c>
      <c r="T582">
        <v>300</v>
      </c>
    </row>
    <row r="583" spans="1:20" ht="27" thickBot="1" x14ac:dyDescent="0.9">
      <c r="A583" s="389"/>
      <c r="B583" s="390"/>
      <c r="C583" s="391"/>
      <c r="D583" s="391"/>
      <c r="E583" s="391"/>
      <c r="F583" s="392" t="s">
        <v>227</v>
      </c>
      <c r="G583" s="392">
        <v>0</v>
      </c>
      <c r="H583" s="333">
        <v>0</v>
      </c>
      <c r="I583" s="217" t="s">
        <v>777</v>
      </c>
      <c r="M583" s="352"/>
      <c r="N583" s="349"/>
      <c r="O583" s="217" t="s">
        <v>168</v>
      </c>
      <c r="P583" s="385" t="s">
        <v>168</v>
      </c>
      <c r="Q583" s="393" t="s">
        <v>323</v>
      </c>
      <c r="R583" t="str">
        <f>IF(ISNUMBER(Table3[[#This Row],[Thickness]]), "Zenith", "")</f>
        <v/>
      </c>
    </row>
    <row r="584" spans="1:20" ht="27" thickTop="1" x14ac:dyDescent="0.85">
      <c r="A584" s="429" t="s">
        <v>481</v>
      </c>
      <c r="B584" s="429" t="s">
        <v>227</v>
      </c>
      <c r="C584" s="430">
        <v>35.5</v>
      </c>
      <c r="D584" s="430"/>
      <c r="E584" s="430" t="s">
        <v>757</v>
      </c>
      <c r="F584" s="431">
        <v>1</v>
      </c>
      <c r="G584" s="431">
        <v>1400</v>
      </c>
      <c r="H584" s="431">
        <v>10000</v>
      </c>
      <c r="I584" s="431" t="s">
        <v>777</v>
      </c>
      <c r="J584" s="432" t="s">
        <v>790</v>
      </c>
      <c r="K584" s="432">
        <v>-30</v>
      </c>
      <c r="L584" s="432">
        <v>120</v>
      </c>
      <c r="M584" s="432" t="s">
        <v>779</v>
      </c>
      <c r="N584" s="432">
        <v>65</v>
      </c>
      <c r="O584" s="431" t="s">
        <v>168</v>
      </c>
      <c r="P584" s="431" t="s">
        <v>168</v>
      </c>
      <c r="Q584" s="430">
        <f>C584*((100-Discounts!$B$39)/100)</f>
        <v>14.200000000000001</v>
      </c>
      <c r="R584" t="str">
        <f>IF(ISNUMBER(Table3[[#This Row],[Thickness]]), "Zenith", "")</f>
        <v>Zenith</v>
      </c>
      <c r="S584">
        <v>5</v>
      </c>
      <c r="T584">
        <v>250</v>
      </c>
    </row>
    <row r="585" spans="1:20" x14ac:dyDescent="0.85">
      <c r="A585" s="433" t="s">
        <v>482</v>
      </c>
      <c r="B585" s="429" t="s">
        <v>227</v>
      </c>
      <c r="C585" s="434">
        <v>56.5</v>
      </c>
      <c r="D585" s="434"/>
      <c r="E585" s="430" t="s">
        <v>757</v>
      </c>
      <c r="F585" s="435">
        <v>2</v>
      </c>
      <c r="G585" s="435">
        <v>1400</v>
      </c>
      <c r="H585" s="435">
        <v>10000</v>
      </c>
      <c r="I585" s="431" t="s">
        <v>777</v>
      </c>
      <c r="J585" s="432" t="s">
        <v>790</v>
      </c>
      <c r="K585" s="432">
        <v>-30</v>
      </c>
      <c r="L585" s="432">
        <v>120</v>
      </c>
      <c r="M585" s="432" t="s">
        <v>779</v>
      </c>
      <c r="N585" s="432">
        <v>65</v>
      </c>
      <c r="O585" s="431" t="s">
        <v>168</v>
      </c>
      <c r="P585" s="431" t="s">
        <v>168</v>
      </c>
      <c r="Q585" s="434">
        <f>C585*((100-Discounts!$B$39)/100)</f>
        <v>22.6</v>
      </c>
      <c r="R585" t="str">
        <f>IF(ISNUMBER(Table3[[#This Row],[Thickness]]), "Zenith", "")</f>
        <v>Zenith</v>
      </c>
      <c r="S585">
        <v>5</v>
      </c>
      <c r="T585">
        <v>250</v>
      </c>
    </row>
    <row r="586" spans="1:20" x14ac:dyDescent="0.85">
      <c r="A586" s="429" t="s">
        <v>483</v>
      </c>
      <c r="B586" s="429" t="s">
        <v>227</v>
      </c>
      <c r="C586" s="430">
        <v>86.5</v>
      </c>
      <c r="D586" s="430"/>
      <c r="E586" s="430" t="s">
        <v>757</v>
      </c>
      <c r="F586" s="431">
        <v>3</v>
      </c>
      <c r="G586" s="431">
        <v>1400</v>
      </c>
      <c r="H586" s="431">
        <v>10000</v>
      </c>
      <c r="I586" s="431" t="s">
        <v>777</v>
      </c>
      <c r="J586" s="432" t="s">
        <v>790</v>
      </c>
      <c r="K586" s="432">
        <v>-30</v>
      </c>
      <c r="L586" s="432">
        <v>120</v>
      </c>
      <c r="M586" s="432" t="s">
        <v>779</v>
      </c>
      <c r="N586" s="432">
        <v>65</v>
      </c>
      <c r="O586" s="431" t="s">
        <v>168</v>
      </c>
      <c r="P586" s="431" t="s">
        <v>168</v>
      </c>
      <c r="Q586" s="430">
        <f>C586*((100-Discounts!$B$39)/100)</f>
        <v>34.6</v>
      </c>
      <c r="R586" t="str">
        <f>IF(ISNUMBER(Table3[[#This Row],[Thickness]]), "Zenith", "")</f>
        <v>Zenith</v>
      </c>
      <c r="S586">
        <v>5</v>
      </c>
      <c r="T586">
        <v>250</v>
      </c>
    </row>
    <row r="587" spans="1:20" x14ac:dyDescent="0.85">
      <c r="A587" s="433" t="s">
        <v>484</v>
      </c>
      <c r="B587" s="429" t="s">
        <v>227</v>
      </c>
      <c r="C587" s="434">
        <v>115.25</v>
      </c>
      <c r="D587" s="434"/>
      <c r="E587" s="430" t="s">
        <v>757</v>
      </c>
      <c r="F587" s="435">
        <v>4</v>
      </c>
      <c r="G587" s="435">
        <v>1400</v>
      </c>
      <c r="H587" s="435">
        <v>10000</v>
      </c>
      <c r="I587" s="431" t="s">
        <v>777</v>
      </c>
      <c r="J587" s="432" t="s">
        <v>790</v>
      </c>
      <c r="K587" s="432">
        <v>-30</v>
      </c>
      <c r="L587" s="432">
        <v>120</v>
      </c>
      <c r="M587" s="432" t="s">
        <v>779</v>
      </c>
      <c r="N587" s="432">
        <v>65</v>
      </c>
      <c r="O587" s="431" t="s">
        <v>168</v>
      </c>
      <c r="P587" s="431" t="s">
        <v>168</v>
      </c>
      <c r="Q587" s="434">
        <f>C587*((100-Discounts!$B$39)/100)</f>
        <v>46.1</v>
      </c>
      <c r="R587" t="str">
        <f>IF(ISNUMBER(Table3[[#This Row],[Thickness]]), "Zenith", "")</f>
        <v>Zenith</v>
      </c>
      <c r="S587">
        <v>5</v>
      </c>
      <c r="T587">
        <v>250</v>
      </c>
    </row>
    <row r="588" spans="1:20" x14ac:dyDescent="0.85">
      <c r="A588" s="429" t="s">
        <v>485</v>
      </c>
      <c r="B588" s="429" t="s">
        <v>227</v>
      </c>
      <c r="C588" s="430">
        <v>144</v>
      </c>
      <c r="D588" s="430"/>
      <c r="E588" s="430" t="s">
        <v>757</v>
      </c>
      <c r="F588" s="431">
        <v>5</v>
      </c>
      <c r="G588" s="431">
        <v>1400</v>
      </c>
      <c r="H588" s="431">
        <v>10000</v>
      </c>
      <c r="I588" s="431" t="s">
        <v>777</v>
      </c>
      <c r="J588" s="432" t="s">
        <v>790</v>
      </c>
      <c r="K588" s="432">
        <v>-30</v>
      </c>
      <c r="L588" s="432">
        <v>120</v>
      </c>
      <c r="M588" s="432" t="s">
        <v>779</v>
      </c>
      <c r="N588" s="432">
        <v>65</v>
      </c>
      <c r="O588" s="431" t="s">
        <v>168</v>
      </c>
      <c r="P588" s="431" t="s">
        <v>168</v>
      </c>
      <c r="Q588" s="430">
        <f>C588*((100-Discounts!$B$39)/100)</f>
        <v>57.6</v>
      </c>
      <c r="R588" t="str">
        <f>IF(ISNUMBER(Table3[[#This Row],[Thickness]]), "Zenith", "")</f>
        <v>Zenith</v>
      </c>
      <c r="S588">
        <v>5</v>
      </c>
      <c r="T588">
        <v>250</v>
      </c>
    </row>
    <row r="589" spans="1:20" ht="27" thickBot="1" x14ac:dyDescent="0.9">
      <c r="A589" s="389"/>
      <c r="B589" s="390"/>
      <c r="C589" s="391"/>
      <c r="D589" s="391"/>
      <c r="E589" s="391"/>
      <c r="F589" s="392" t="s">
        <v>233</v>
      </c>
      <c r="G589" s="392">
        <v>0</v>
      </c>
      <c r="H589" s="333">
        <v>0</v>
      </c>
      <c r="I589" s="217" t="s">
        <v>777</v>
      </c>
      <c r="M589" s="352"/>
      <c r="N589" s="349"/>
      <c r="O589" s="217" t="s">
        <v>168</v>
      </c>
      <c r="P589" s="385" t="s">
        <v>168</v>
      </c>
      <c r="Q589" s="393" t="s">
        <v>323</v>
      </c>
      <c r="R589" t="str">
        <f>IF(ISNUMBER(Table3[[#This Row],[Thickness]]), "Zenith", "")</f>
        <v/>
      </c>
    </row>
    <row r="590" spans="1:20" ht="27" thickTop="1" x14ac:dyDescent="0.85">
      <c r="A590" s="429" t="s">
        <v>486</v>
      </c>
      <c r="B590" s="429" t="s">
        <v>233</v>
      </c>
      <c r="C590" s="430">
        <v>26.5</v>
      </c>
      <c r="D590" s="430"/>
      <c r="E590" s="430" t="s">
        <v>757</v>
      </c>
      <c r="F590" s="431">
        <v>1</v>
      </c>
      <c r="G590" s="431">
        <v>1200</v>
      </c>
      <c r="H590" s="431">
        <v>10000</v>
      </c>
      <c r="I590" s="431" t="s">
        <v>777</v>
      </c>
      <c r="J590" s="432" t="s">
        <v>791</v>
      </c>
      <c r="K590" s="432">
        <v>-90</v>
      </c>
      <c r="L590" s="432">
        <v>230</v>
      </c>
      <c r="M590" s="436" t="s">
        <v>780</v>
      </c>
      <c r="N590" s="436">
        <v>60</v>
      </c>
      <c r="O590" s="431" t="s">
        <v>168</v>
      </c>
      <c r="P590" s="431" t="s">
        <v>168</v>
      </c>
      <c r="Q590" s="430">
        <f>C590*((100-Discounts!$B$40)/100)</f>
        <v>10.600000000000001</v>
      </c>
      <c r="R590" t="str">
        <f>IF(ISNUMBER(Table3[[#This Row],[Thickness]]), "Zenith", "")</f>
        <v>Zenith</v>
      </c>
      <c r="S590">
        <v>6</v>
      </c>
      <c r="T590">
        <v>250</v>
      </c>
    </row>
    <row r="591" spans="1:20" x14ac:dyDescent="0.85">
      <c r="A591" s="433" t="s">
        <v>487</v>
      </c>
      <c r="B591" s="429" t="s">
        <v>233</v>
      </c>
      <c r="C591" s="434">
        <v>38.5</v>
      </c>
      <c r="D591" s="434"/>
      <c r="E591" s="430" t="s">
        <v>757</v>
      </c>
      <c r="F591" s="435">
        <v>1.5</v>
      </c>
      <c r="G591" s="435">
        <v>1200</v>
      </c>
      <c r="H591" s="435">
        <v>10000</v>
      </c>
      <c r="I591" s="431" t="s">
        <v>777</v>
      </c>
      <c r="J591" s="432" t="s">
        <v>791</v>
      </c>
      <c r="K591" s="432">
        <v>-90</v>
      </c>
      <c r="L591" s="432">
        <v>230</v>
      </c>
      <c r="M591" s="436" t="s">
        <v>780</v>
      </c>
      <c r="N591" s="436">
        <v>60</v>
      </c>
      <c r="O591" s="431" t="s">
        <v>168</v>
      </c>
      <c r="P591" s="431" t="s">
        <v>168</v>
      </c>
      <c r="Q591" s="434">
        <f>C591*((100-Discounts!$B$40)/100)</f>
        <v>15.4</v>
      </c>
      <c r="R591" t="str">
        <f>IF(ISNUMBER(Table3[[#This Row],[Thickness]]), "Zenith", "")</f>
        <v>Zenith</v>
      </c>
      <c r="S591">
        <v>6</v>
      </c>
      <c r="T591">
        <v>250</v>
      </c>
    </row>
    <row r="592" spans="1:20" x14ac:dyDescent="0.85">
      <c r="A592" s="429" t="s">
        <v>488</v>
      </c>
      <c r="B592" s="429" t="s">
        <v>233</v>
      </c>
      <c r="C592" s="430">
        <v>50</v>
      </c>
      <c r="D592" s="430"/>
      <c r="E592" s="430" t="s">
        <v>757</v>
      </c>
      <c r="F592" s="431">
        <v>2</v>
      </c>
      <c r="G592" s="431">
        <v>1200</v>
      </c>
      <c r="H592" s="431">
        <v>10000</v>
      </c>
      <c r="I592" s="431" t="s">
        <v>777</v>
      </c>
      <c r="J592" s="432" t="s">
        <v>791</v>
      </c>
      <c r="K592" s="432">
        <v>-90</v>
      </c>
      <c r="L592" s="432">
        <v>230</v>
      </c>
      <c r="M592" s="436" t="s">
        <v>780</v>
      </c>
      <c r="N592" s="436">
        <v>60</v>
      </c>
      <c r="O592" s="431" t="s">
        <v>168</v>
      </c>
      <c r="P592" s="431" t="s">
        <v>168</v>
      </c>
      <c r="Q592" s="430">
        <f>C592*((100-Discounts!$B$40)/100)</f>
        <v>20</v>
      </c>
      <c r="R592" t="str">
        <f>IF(ISNUMBER(Table3[[#This Row],[Thickness]]), "Zenith", "")</f>
        <v>Zenith</v>
      </c>
      <c r="S592">
        <v>6</v>
      </c>
      <c r="T592">
        <v>250</v>
      </c>
    </row>
    <row r="593" spans="1:20" x14ac:dyDescent="0.85">
      <c r="A593" s="433" t="s">
        <v>489</v>
      </c>
      <c r="B593" s="429" t="s">
        <v>233</v>
      </c>
      <c r="C593" s="434">
        <v>72.25</v>
      </c>
      <c r="D593" s="434"/>
      <c r="E593" s="430" t="s">
        <v>757</v>
      </c>
      <c r="F593" s="435">
        <v>3</v>
      </c>
      <c r="G593" s="435">
        <v>1200</v>
      </c>
      <c r="H593" s="435">
        <v>10000</v>
      </c>
      <c r="I593" s="431" t="s">
        <v>777</v>
      </c>
      <c r="J593" s="432" t="s">
        <v>791</v>
      </c>
      <c r="K593" s="432">
        <v>-90</v>
      </c>
      <c r="L593" s="432">
        <v>230</v>
      </c>
      <c r="M593" s="436" t="s">
        <v>780</v>
      </c>
      <c r="N593" s="436">
        <v>60</v>
      </c>
      <c r="O593" s="431" t="s">
        <v>168</v>
      </c>
      <c r="P593" s="431" t="s">
        <v>168</v>
      </c>
      <c r="Q593" s="434">
        <f>C593*((100-Discounts!$B$40)/100)</f>
        <v>28.900000000000002</v>
      </c>
      <c r="R593" t="str">
        <f>IF(ISNUMBER(Table3[[#This Row],[Thickness]]), "Zenith", "")</f>
        <v>Zenith</v>
      </c>
      <c r="S593">
        <v>6</v>
      </c>
      <c r="T593">
        <v>250</v>
      </c>
    </row>
    <row r="594" spans="1:20" x14ac:dyDescent="0.85">
      <c r="A594" s="429" t="s">
        <v>490</v>
      </c>
      <c r="B594" s="429" t="s">
        <v>233</v>
      </c>
      <c r="C594" s="430">
        <v>96.25</v>
      </c>
      <c r="D594" s="430"/>
      <c r="E594" s="430" t="s">
        <v>757</v>
      </c>
      <c r="F594" s="431">
        <v>4</v>
      </c>
      <c r="G594" s="431">
        <v>1200</v>
      </c>
      <c r="H594" s="431">
        <v>10000</v>
      </c>
      <c r="I594" s="431" t="s">
        <v>777</v>
      </c>
      <c r="J594" s="432" t="s">
        <v>791</v>
      </c>
      <c r="K594" s="432">
        <v>-90</v>
      </c>
      <c r="L594" s="432">
        <v>230</v>
      </c>
      <c r="M594" s="436" t="s">
        <v>780</v>
      </c>
      <c r="N594" s="436">
        <v>60</v>
      </c>
      <c r="O594" s="431" t="s">
        <v>168</v>
      </c>
      <c r="P594" s="431" t="s">
        <v>168</v>
      </c>
      <c r="Q594" s="430">
        <f>C594*((100-Discounts!$B$40)/100)</f>
        <v>38.5</v>
      </c>
      <c r="R594" t="str">
        <f>IF(ISNUMBER(Table3[[#This Row],[Thickness]]), "Zenith", "")</f>
        <v>Zenith</v>
      </c>
      <c r="S594">
        <v>6</v>
      </c>
      <c r="T594">
        <v>250</v>
      </c>
    </row>
    <row r="595" spans="1:20" x14ac:dyDescent="0.85">
      <c r="A595" s="433" t="s">
        <v>491</v>
      </c>
      <c r="B595" s="429" t="s">
        <v>233</v>
      </c>
      <c r="C595" s="434">
        <v>120.5</v>
      </c>
      <c r="D595" s="434"/>
      <c r="E595" s="430" t="s">
        <v>757</v>
      </c>
      <c r="F595" s="435">
        <v>5</v>
      </c>
      <c r="G595" s="435">
        <v>1200</v>
      </c>
      <c r="H595" s="435">
        <v>10000</v>
      </c>
      <c r="I595" s="431" t="s">
        <v>777</v>
      </c>
      <c r="J595" s="432" t="s">
        <v>791</v>
      </c>
      <c r="K595" s="432">
        <v>-90</v>
      </c>
      <c r="L595" s="432">
        <v>230</v>
      </c>
      <c r="M595" s="436" t="s">
        <v>780</v>
      </c>
      <c r="N595" s="436">
        <v>60</v>
      </c>
      <c r="O595" s="431" t="s">
        <v>168</v>
      </c>
      <c r="P595" s="431" t="s">
        <v>168</v>
      </c>
      <c r="Q595" s="434">
        <f>C595*((100-Discounts!$B$40)/100)</f>
        <v>48.2</v>
      </c>
      <c r="R595" t="str">
        <f>IF(ISNUMBER(Table3[[#This Row],[Thickness]]), "Zenith", "")</f>
        <v>Zenith</v>
      </c>
      <c r="S595">
        <v>6</v>
      </c>
      <c r="T595">
        <v>250</v>
      </c>
    </row>
    <row r="596" spans="1:20" x14ac:dyDescent="0.85">
      <c r="A596" s="429" t="s">
        <v>492</v>
      </c>
      <c r="B596" s="429" t="s">
        <v>233</v>
      </c>
      <c r="C596" s="430">
        <v>144.5</v>
      </c>
      <c r="D596" s="430"/>
      <c r="E596" s="430" t="s">
        <v>757</v>
      </c>
      <c r="F596" s="431">
        <v>6</v>
      </c>
      <c r="G596" s="431">
        <v>1200</v>
      </c>
      <c r="H596" s="431">
        <v>10000</v>
      </c>
      <c r="I596" s="431" t="s">
        <v>777</v>
      </c>
      <c r="J596" s="432" t="s">
        <v>791</v>
      </c>
      <c r="K596" s="432">
        <v>-90</v>
      </c>
      <c r="L596" s="432">
        <v>230</v>
      </c>
      <c r="M596" s="436" t="s">
        <v>780</v>
      </c>
      <c r="N596" s="436">
        <v>60</v>
      </c>
      <c r="O596" s="431" t="s">
        <v>168</v>
      </c>
      <c r="P596" s="431" t="s">
        <v>168</v>
      </c>
      <c r="Q596" s="430">
        <f>C596*((100-Discounts!$B$40)/100)</f>
        <v>57.800000000000004</v>
      </c>
      <c r="R596" t="str">
        <f>IF(ISNUMBER(Table3[[#This Row],[Thickness]]), "Zenith", "")</f>
        <v>Zenith</v>
      </c>
      <c r="S596">
        <v>6</v>
      </c>
      <c r="T596">
        <v>250</v>
      </c>
    </row>
    <row r="597" spans="1:20" x14ac:dyDescent="0.85">
      <c r="A597" s="433" t="s">
        <v>493</v>
      </c>
      <c r="B597" s="429" t="s">
        <v>233</v>
      </c>
      <c r="C597" s="434">
        <v>192.5</v>
      </c>
      <c r="D597" s="434"/>
      <c r="E597" s="430" t="s">
        <v>757</v>
      </c>
      <c r="F597" s="435">
        <v>8</v>
      </c>
      <c r="G597" s="435">
        <v>1200</v>
      </c>
      <c r="H597" s="435">
        <v>5000</v>
      </c>
      <c r="I597" s="431" t="s">
        <v>777</v>
      </c>
      <c r="J597" s="432" t="s">
        <v>791</v>
      </c>
      <c r="K597" s="432">
        <v>-90</v>
      </c>
      <c r="L597" s="432">
        <v>230</v>
      </c>
      <c r="M597" s="436" t="s">
        <v>780</v>
      </c>
      <c r="N597" s="436">
        <v>60</v>
      </c>
      <c r="O597" s="431" t="s">
        <v>168</v>
      </c>
      <c r="P597" s="431" t="s">
        <v>168</v>
      </c>
      <c r="Q597" s="434">
        <f>C597*((100-Discounts!$B$40)/100)</f>
        <v>77</v>
      </c>
      <c r="R597" t="str">
        <f>IF(ISNUMBER(Table3[[#This Row],[Thickness]]), "Zenith", "")</f>
        <v>Zenith</v>
      </c>
      <c r="S597">
        <v>6</v>
      </c>
      <c r="T597">
        <v>250</v>
      </c>
    </row>
    <row r="598" spans="1:20" x14ac:dyDescent="0.85">
      <c r="A598" s="429" t="s">
        <v>493</v>
      </c>
      <c r="B598" s="429" t="s">
        <v>233</v>
      </c>
      <c r="C598" s="430">
        <v>192.5</v>
      </c>
      <c r="D598" s="430"/>
      <c r="E598" s="430" t="s">
        <v>757</v>
      </c>
      <c r="F598" s="431">
        <v>8</v>
      </c>
      <c r="G598" s="431">
        <v>1200</v>
      </c>
      <c r="H598" s="431">
        <v>10000</v>
      </c>
      <c r="I598" s="431" t="s">
        <v>777</v>
      </c>
      <c r="J598" s="432" t="s">
        <v>791</v>
      </c>
      <c r="K598" s="432">
        <v>-90</v>
      </c>
      <c r="L598" s="432">
        <v>230</v>
      </c>
      <c r="M598" s="436" t="s">
        <v>780</v>
      </c>
      <c r="N598" s="436">
        <v>60</v>
      </c>
      <c r="O598" s="431" t="s">
        <v>168</v>
      </c>
      <c r="P598" s="431" t="s">
        <v>168</v>
      </c>
      <c r="Q598" s="430">
        <f>C598*((100-Discounts!$B$40)/100)</f>
        <v>77</v>
      </c>
      <c r="R598" t="str">
        <f>IF(ISNUMBER(Table3[[#This Row],[Thickness]]), "Zenith", "")</f>
        <v>Zenith</v>
      </c>
      <c r="S598">
        <v>6</v>
      </c>
      <c r="T598">
        <v>250</v>
      </c>
    </row>
    <row r="599" spans="1:20" x14ac:dyDescent="0.85">
      <c r="A599" s="433" t="s">
        <v>494</v>
      </c>
      <c r="B599" s="429" t="s">
        <v>233</v>
      </c>
      <c r="C599" s="434">
        <v>240.75</v>
      </c>
      <c r="D599" s="434"/>
      <c r="E599" s="430" t="s">
        <v>757</v>
      </c>
      <c r="F599" s="435">
        <v>10</v>
      </c>
      <c r="G599" s="435">
        <v>1200</v>
      </c>
      <c r="H599" s="435">
        <v>5000</v>
      </c>
      <c r="I599" s="431" t="s">
        <v>777</v>
      </c>
      <c r="J599" s="432" t="s">
        <v>791</v>
      </c>
      <c r="K599" s="432">
        <v>-90</v>
      </c>
      <c r="L599" s="432">
        <v>230</v>
      </c>
      <c r="M599" s="436" t="s">
        <v>780</v>
      </c>
      <c r="N599" s="436">
        <v>60</v>
      </c>
      <c r="O599" s="431" t="s">
        <v>168</v>
      </c>
      <c r="P599" s="431" t="s">
        <v>168</v>
      </c>
      <c r="Q599" s="434">
        <f>C599*((100-Discounts!$B$40)/100)</f>
        <v>96.300000000000011</v>
      </c>
      <c r="R599" t="str">
        <f>IF(ISNUMBER(Table3[[#This Row],[Thickness]]), "Zenith", "")</f>
        <v>Zenith</v>
      </c>
      <c r="S599">
        <v>6</v>
      </c>
      <c r="T599">
        <v>250</v>
      </c>
    </row>
    <row r="600" spans="1:20" x14ac:dyDescent="0.85">
      <c r="A600" s="429" t="s">
        <v>494</v>
      </c>
      <c r="B600" s="429" t="s">
        <v>233</v>
      </c>
      <c r="C600" s="430">
        <v>240.75</v>
      </c>
      <c r="D600" s="430"/>
      <c r="E600" s="430" t="s">
        <v>757</v>
      </c>
      <c r="F600" s="431">
        <v>10</v>
      </c>
      <c r="G600" s="431">
        <v>1200</v>
      </c>
      <c r="H600" s="431">
        <v>10000</v>
      </c>
      <c r="I600" s="431" t="s">
        <v>777</v>
      </c>
      <c r="J600" s="432" t="s">
        <v>791</v>
      </c>
      <c r="K600" s="432">
        <v>-90</v>
      </c>
      <c r="L600" s="432">
        <v>230</v>
      </c>
      <c r="M600" s="436" t="s">
        <v>780</v>
      </c>
      <c r="N600" s="436">
        <v>60</v>
      </c>
      <c r="O600" s="431" t="s">
        <v>168</v>
      </c>
      <c r="P600" s="431" t="s">
        <v>168</v>
      </c>
      <c r="Q600" s="430">
        <f>C600*((100-Discounts!$B$40)/100)</f>
        <v>96.300000000000011</v>
      </c>
      <c r="R600" t="str">
        <f>IF(ISNUMBER(Table3[[#This Row],[Thickness]]), "Zenith", "")</f>
        <v>Zenith</v>
      </c>
      <c r="S600">
        <v>6</v>
      </c>
      <c r="T600">
        <v>250</v>
      </c>
    </row>
    <row r="601" spans="1:20" x14ac:dyDescent="0.85">
      <c r="A601" s="433" t="s">
        <v>495</v>
      </c>
      <c r="B601" s="429" t="s">
        <v>233</v>
      </c>
      <c r="C601" s="434">
        <v>288.75</v>
      </c>
      <c r="D601" s="434"/>
      <c r="E601" s="430" t="s">
        <v>757</v>
      </c>
      <c r="F601" s="435">
        <v>12</v>
      </c>
      <c r="G601" s="435">
        <v>1200</v>
      </c>
      <c r="H601" s="435">
        <v>5000</v>
      </c>
      <c r="I601" s="431" t="s">
        <v>777</v>
      </c>
      <c r="J601" s="432" t="s">
        <v>791</v>
      </c>
      <c r="K601" s="432">
        <v>-90</v>
      </c>
      <c r="L601" s="432">
        <v>230</v>
      </c>
      <c r="M601" s="436" t="s">
        <v>780</v>
      </c>
      <c r="N601" s="436">
        <v>60</v>
      </c>
      <c r="O601" s="431" t="s">
        <v>168</v>
      </c>
      <c r="P601" s="431" t="s">
        <v>168</v>
      </c>
      <c r="Q601" s="434">
        <f>C601*((100-Discounts!$B$40)/100)</f>
        <v>115.5</v>
      </c>
      <c r="R601" t="str">
        <f>IF(ISNUMBER(Table3[[#This Row],[Thickness]]), "Zenith", "")</f>
        <v>Zenith</v>
      </c>
      <c r="S601">
        <v>6</v>
      </c>
      <c r="T601">
        <v>250</v>
      </c>
    </row>
    <row r="602" spans="1:20" ht="27" thickBot="1" x14ac:dyDescent="0.9">
      <c r="A602" s="389"/>
      <c r="B602" s="390"/>
      <c r="C602" s="391"/>
      <c r="D602" s="391"/>
      <c r="E602" s="391"/>
      <c r="F602" s="392" t="s">
        <v>235</v>
      </c>
      <c r="G602" s="392">
        <v>0</v>
      </c>
      <c r="H602" s="333">
        <v>0</v>
      </c>
      <c r="I602" s="217" t="s">
        <v>777</v>
      </c>
      <c r="J602" t="s">
        <v>791</v>
      </c>
      <c r="M602" s="348"/>
      <c r="N602" s="343"/>
      <c r="O602" s="217" t="s">
        <v>168</v>
      </c>
      <c r="P602" s="385" t="s">
        <v>168</v>
      </c>
      <c r="Q602" s="393" t="s">
        <v>323</v>
      </c>
      <c r="R602" t="str">
        <f>IF(ISNUMBER(Table3[[#This Row],[Thickness]]), "Zenith", "")</f>
        <v/>
      </c>
    </row>
    <row r="603" spans="1:20" ht="27" thickTop="1" x14ac:dyDescent="0.85">
      <c r="A603" s="429" t="s">
        <v>496</v>
      </c>
      <c r="B603" s="429" t="s">
        <v>235</v>
      </c>
      <c r="C603" s="430">
        <v>26.5</v>
      </c>
      <c r="D603" s="430"/>
      <c r="E603" s="430" t="s">
        <v>757</v>
      </c>
      <c r="F603" s="431">
        <v>1</v>
      </c>
      <c r="G603" s="431">
        <v>1200</v>
      </c>
      <c r="H603" s="431">
        <v>10000</v>
      </c>
      <c r="I603" s="431" t="s">
        <v>777</v>
      </c>
      <c r="J603" s="432" t="s">
        <v>791</v>
      </c>
      <c r="K603" s="432">
        <v>-90</v>
      </c>
      <c r="L603" s="432">
        <v>230</v>
      </c>
      <c r="M603" s="436" t="s">
        <v>631</v>
      </c>
      <c r="N603" s="436">
        <v>60</v>
      </c>
      <c r="O603" s="431" t="s">
        <v>168</v>
      </c>
      <c r="P603" s="431" t="s">
        <v>168</v>
      </c>
      <c r="Q603" s="430">
        <f>C603*((100-Discounts!$B$41)/100)</f>
        <v>10.600000000000001</v>
      </c>
      <c r="R603" t="str">
        <f>IF(ISNUMBER(Table3[[#This Row],[Thickness]]), "Zenith", "")</f>
        <v>Zenith</v>
      </c>
      <c r="S603">
        <v>6</v>
      </c>
      <c r="T603">
        <v>250</v>
      </c>
    </row>
    <row r="604" spans="1:20" x14ac:dyDescent="0.85">
      <c r="A604" s="433" t="s">
        <v>497</v>
      </c>
      <c r="B604" s="429" t="s">
        <v>235</v>
      </c>
      <c r="C604" s="434">
        <v>38.5</v>
      </c>
      <c r="D604" s="434"/>
      <c r="E604" s="430" t="s">
        <v>757</v>
      </c>
      <c r="F604" s="435">
        <v>1.5</v>
      </c>
      <c r="G604" s="435">
        <v>1200</v>
      </c>
      <c r="H604" s="435">
        <v>10000</v>
      </c>
      <c r="I604" s="431" t="s">
        <v>777</v>
      </c>
      <c r="J604" s="432" t="s">
        <v>791</v>
      </c>
      <c r="K604" s="432">
        <v>-90</v>
      </c>
      <c r="L604" s="432">
        <v>230</v>
      </c>
      <c r="M604" s="436" t="s">
        <v>631</v>
      </c>
      <c r="N604" s="436">
        <v>60</v>
      </c>
      <c r="O604" s="431" t="s">
        <v>168</v>
      </c>
      <c r="P604" s="431" t="s">
        <v>168</v>
      </c>
      <c r="Q604" s="434">
        <f>C604*((100-Discounts!$B$41)/100)</f>
        <v>15.4</v>
      </c>
      <c r="R604" t="str">
        <f>IF(ISNUMBER(Table3[[#This Row],[Thickness]]), "Zenith", "")</f>
        <v>Zenith</v>
      </c>
      <c r="S604">
        <v>6</v>
      </c>
      <c r="T604">
        <v>250</v>
      </c>
    </row>
    <row r="605" spans="1:20" x14ac:dyDescent="0.85">
      <c r="A605" s="429" t="s">
        <v>498</v>
      </c>
      <c r="B605" s="429" t="s">
        <v>235</v>
      </c>
      <c r="C605" s="430">
        <v>50</v>
      </c>
      <c r="D605" s="430"/>
      <c r="E605" s="430" t="s">
        <v>757</v>
      </c>
      <c r="F605" s="431">
        <v>2</v>
      </c>
      <c r="G605" s="431">
        <v>1200</v>
      </c>
      <c r="H605" s="431">
        <v>10000</v>
      </c>
      <c r="I605" s="431" t="s">
        <v>777</v>
      </c>
      <c r="J605" s="432" t="s">
        <v>791</v>
      </c>
      <c r="K605" s="432">
        <v>-90</v>
      </c>
      <c r="L605" s="432">
        <v>230</v>
      </c>
      <c r="M605" s="436" t="s">
        <v>631</v>
      </c>
      <c r="N605" s="436">
        <v>60</v>
      </c>
      <c r="O605" s="431" t="s">
        <v>168</v>
      </c>
      <c r="P605" s="431" t="s">
        <v>168</v>
      </c>
      <c r="Q605" s="430">
        <f>C605*((100-Discounts!$B$41)/100)</f>
        <v>20</v>
      </c>
      <c r="R605" t="str">
        <f>IF(ISNUMBER(Table3[[#This Row],[Thickness]]), "Zenith", "")</f>
        <v>Zenith</v>
      </c>
      <c r="S605">
        <v>6</v>
      </c>
      <c r="T605">
        <v>250</v>
      </c>
    </row>
    <row r="606" spans="1:20" x14ac:dyDescent="0.85">
      <c r="A606" s="433" t="s">
        <v>499</v>
      </c>
      <c r="B606" s="429" t="s">
        <v>235</v>
      </c>
      <c r="C606" s="434">
        <v>72.25</v>
      </c>
      <c r="D606" s="434"/>
      <c r="E606" s="430" t="s">
        <v>757</v>
      </c>
      <c r="F606" s="435">
        <v>3</v>
      </c>
      <c r="G606" s="435">
        <v>1200</v>
      </c>
      <c r="H606" s="435">
        <v>10000</v>
      </c>
      <c r="I606" s="431" t="s">
        <v>777</v>
      </c>
      <c r="J606" s="432" t="s">
        <v>791</v>
      </c>
      <c r="K606" s="432">
        <v>-90</v>
      </c>
      <c r="L606" s="432">
        <v>230</v>
      </c>
      <c r="M606" s="436" t="s">
        <v>631</v>
      </c>
      <c r="N606" s="436">
        <v>60</v>
      </c>
      <c r="O606" s="431" t="s">
        <v>168</v>
      </c>
      <c r="P606" s="431" t="s">
        <v>168</v>
      </c>
      <c r="Q606" s="434">
        <f>C606*((100-Discounts!$B$41)/100)</f>
        <v>28.900000000000002</v>
      </c>
      <c r="R606" t="str">
        <f>IF(ISNUMBER(Table3[[#This Row],[Thickness]]), "Zenith", "")</f>
        <v>Zenith</v>
      </c>
      <c r="S606">
        <v>6</v>
      </c>
      <c r="T606">
        <v>250</v>
      </c>
    </row>
    <row r="607" spans="1:20" x14ac:dyDescent="0.85">
      <c r="A607" s="429" t="s">
        <v>500</v>
      </c>
      <c r="B607" s="429" t="s">
        <v>235</v>
      </c>
      <c r="C607" s="430">
        <v>96.25</v>
      </c>
      <c r="D607" s="430"/>
      <c r="E607" s="430" t="s">
        <v>757</v>
      </c>
      <c r="F607" s="431">
        <v>4</v>
      </c>
      <c r="G607" s="431">
        <v>1200</v>
      </c>
      <c r="H607" s="431">
        <v>10000</v>
      </c>
      <c r="I607" s="431" t="s">
        <v>777</v>
      </c>
      <c r="J607" s="432" t="s">
        <v>791</v>
      </c>
      <c r="K607" s="432">
        <v>-90</v>
      </c>
      <c r="L607" s="432">
        <v>230</v>
      </c>
      <c r="M607" s="436" t="s">
        <v>631</v>
      </c>
      <c r="N607" s="436">
        <v>60</v>
      </c>
      <c r="O607" s="431" t="s">
        <v>168</v>
      </c>
      <c r="P607" s="431" t="s">
        <v>168</v>
      </c>
      <c r="Q607" s="430">
        <f>C607*((100-Discounts!$B$41)/100)</f>
        <v>38.5</v>
      </c>
      <c r="R607" t="str">
        <f>IF(ISNUMBER(Table3[[#This Row],[Thickness]]), "Zenith", "")</f>
        <v>Zenith</v>
      </c>
      <c r="S607">
        <v>6</v>
      </c>
      <c r="T607">
        <v>250</v>
      </c>
    </row>
    <row r="608" spans="1:20" x14ac:dyDescent="0.85">
      <c r="A608" s="433" t="s">
        <v>501</v>
      </c>
      <c r="B608" s="429" t="s">
        <v>235</v>
      </c>
      <c r="C608" s="434">
        <v>120.5</v>
      </c>
      <c r="D608" s="434"/>
      <c r="E608" s="430" t="s">
        <v>757</v>
      </c>
      <c r="F608" s="435">
        <v>5</v>
      </c>
      <c r="G608" s="435">
        <v>1200</v>
      </c>
      <c r="H608" s="435">
        <v>10000</v>
      </c>
      <c r="I608" s="431" t="s">
        <v>777</v>
      </c>
      <c r="J608" s="432" t="s">
        <v>791</v>
      </c>
      <c r="K608" s="432">
        <v>-90</v>
      </c>
      <c r="L608" s="432">
        <v>230</v>
      </c>
      <c r="M608" s="436" t="s">
        <v>631</v>
      </c>
      <c r="N608" s="436">
        <v>60</v>
      </c>
      <c r="O608" s="431" t="s">
        <v>168</v>
      </c>
      <c r="P608" s="431" t="s">
        <v>168</v>
      </c>
      <c r="Q608" s="434">
        <f>C608*((100-Discounts!$B$41)/100)</f>
        <v>48.2</v>
      </c>
      <c r="R608" t="str">
        <f>IF(ISNUMBER(Table3[[#This Row],[Thickness]]), "Zenith", "")</f>
        <v>Zenith</v>
      </c>
      <c r="S608">
        <v>6</v>
      </c>
      <c r="T608">
        <v>250</v>
      </c>
    </row>
    <row r="609" spans="1:20" x14ac:dyDescent="0.85">
      <c r="A609" s="429" t="s">
        <v>502</v>
      </c>
      <c r="B609" s="429" t="s">
        <v>235</v>
      </c>
      <c r="C609" s="430">
        <v>144.5</v>
      </c>
      <c r="D609" s="430"/>
      <c r="E609" s="430" t="s">
        <v>757</v>
      </c>
      <c r="F609" s="431">
        <v>6</v>
      </c>
      <c r="G609" s="431">
        <v>1200</v>
      </c>
      <c r="H609" s="431">
        <v>10000</v>
      </c>
      <c r="I609" s="431" t="s">
        <v>777</v>
      </c>
      <c r="J609" s="432" t="s">
        <v>791</v>
      </c>
      <c r="K609" s="432">
        <v>-90</v>
      </c>
      <c r="L609" s="432">
        <v>230</v>
      </c>
      <c r="M609" s="436" t="s">
        <v>631</v>
      </c>
      <c r="N609" s="436">
        <v>60</v>
      </c>
      <c r="O609" s="431" t="s">
        <v>168</v>
      </c>
      <c r="P609" s="431" t="s">
        <v>168</v>
      </c>
      <c r="Q609" s="430">
        <f>C609*((100-Discounts!$B$41)/100)</f>
        <v>57.800000000000004</v>
      </c>
      <c r="R609" t="str">
        <f>IF(ISNUMBER(Table3[[#This Row],[Thickness]]), "Zenith", "")</f>
        <v>Zenith</v>
      </c>
      <c r="S609">
        <v>6</v>
      </c>
      <c r="T609">
        <v>250</v>
      </c>
    </row>
    <row r="610" spans="1:20" x14ac:dyDescent="0.85">
      <c r="A610" s="433" t="s">
        <v>503</v>
      </c>
      <c r="B610" s="429" t="s">
        <v>235</v>
      </c>
      <c r="C610" s="434">
        <v>192.5</v>
      </c>
      <c r="D610" s="434"/>
      <c r="E610" s="430" t="s">
        <v>757</v>
      </c>
      <c r="F610" s="435">
        <v>8</v>
      </c>
      <c r="G610" s="435">
        <v>1200</v>
      </c>
      <c r="H610" s="435">
        <v>5000</v>
      </c>
      <c r="I610" s="431" t="s">
        <v>777</v>
      </c>
      <c r="J610" s="432" t="s">
        <v>791</v>
      </c>
      <c r="K610" s="432">
        <v>-90</v>
      </c>
      <c r="L610" s="432">
        <v>230</v>
      </c>
      <c r="M610" s="436" t="s">
        <v>631</v>
      </c>
      <c r="N610" s="436">
        <v>60</v>
      </c>
      <c r="O610" s="431" t="s">
        <v>168</v>
      </c>
      <c r="P610" s="431" t="s">
        <v>168</v>
      </c>
      <c r="Q610" s="434">
        <f>C610*((100-Discounts!$B$41)/100)</f>
        <v>77</v>
      </c>
      <c r="R610" t="str">
        <f>IF(ISNUMBER(Table3[[#This Row],[Thickness]]), "Zenith", "")</f>
        <v>Zenith</v>
      </c>
      <c r="S610">
        <v>6</v>
      </c>
      <c r="T610">
        <v>250</v>
      </c>
    </row>
    <row r="611" spans="1:20" x14ac:dyDescent="0.85">
      <c r="A611" s="429" t="s">
        <v>503</v>
      </c>
      <c r="B611" s="429" t="s">
        <v>235</v>
      </c>
      <c r="C611" s="430">
        <v>192.5</v>
      </c>
      <c r="D611" s="430"/>
      <c r="E611" s="430" t="s">
        <v>757</v>
      </c>
      <c r="F611" s="431">
        <v>8</v>
      </c>
      <c r="G611" s="431">
        <v>1200</v>
      </c>
      <c r="H611" s="431">
        <v>10000</v>
      </c>
      <c r="I611" s="431" t="s">
        <v>777</v>
      </c>
      <c r="J611" s="432" t="s">
        <v>791</v>
      </c>
      <c r="K611" s="432">
        <v>-90</v>
      </c>
      <c r="L611" s="432">
        <v>230</v>
      </c>
      <c r="M611" s="436" t="s">
        <v>631</v>
      </c>
      <c r="N611" s="436">
        <v>60</v>
      </c>
      <c r="O611" s="431" t="s">
        <v>168</v>
      </c>
      <c r="P611" s="431" t="s">
        <v>168</v>
      </c>
      <c r="Q611" s="430">
        <f>C611*((100-Discounts!$B$41)/100)</f>
        <v>77</v>
      </c>
      <c r="R611" t="str">
        <f>IF(ISNUMBER(Table3[[#This Row],[Thickness]]), "Zenith", "")</f>
        <v>Zenith</v>
      </c>
      <c r="S611">
        <v>6</v>
      </c>
      <c r="T611">
        <v>250</v>
      </c>
    </row>
    <row r="612" spans="1:20" x14ac:dyDescent="0.85">
      <c r="A612" s="433" t="s">
        <v>504</v>
      </c>
      <c r="B612" s="429" t="s">
        <v>235</v>
      </c>
      <c r="C612" s="434">
        <v>240.75</v>
      </c>
      <c r="D612" s="434"/>
      <c r="E612" s="430" t="s">
        <v>757</v>
      </c>
      <c r="F612" s="435">
        <v>10</v>
      </c>
      <c r="G612" s="435">
        <v>1200</v>
      </c>
      <c r="H612" s="435">
        <v>5000</v>
      </c>
      <c r="I612" s="431" t="s">
        <v>777</v>
      </c>
      <c r="J612" s="432" t="s">
        <v>791</v>
      </c>
      <c r="K612" s="432">
        <v>-90</v>
      </c>
      <c r="L612" s="432">
        <v>230</v>
      </c>
      <c r="M612" s="436" t="s">
        <v>631</v>
      </c>
      <c r="N612" s="436">
        <v>60</v>
      </c>
      <c r="O612" s="431" t="s">
        <v>168</v>
      </c>
      <c r="P612" s="431" t="s">
        <v>168</v>
      </c>
      <c r="Q612" s="434">
        <f>C612*((100-Discounts!$B$41)/100)</f>
        <v>96.300000000000011</v>
      </c>
      <c r="R612" t="str">
        <f>IF(ISNUMBER(Table3[[#This Row],[Thickness]]), "Zenith", "")</f>
        <v>Zenith</v>
      </c>
      <c r="S612">
        <v>6</v>
      </c>
      <c r="T612">
        <v>250</v>
      </c>
    </row>
    <row r="613" spans="1:20" x14ac:dyDescent="0.85">
      <c r="A613" s="429" t="s">
        <v>504</v>
      </c>
      <c r="B613" s="429" t="s">
        <v>235</v>
      </c>
      <c r="C613" s="430">
        <v>240.75</v>
      </c>
      <c r="D613" s="430"/>
      <c r="E613" s="430" t="s">
        <v>757</v>
      </c>
      <c r="F613" s="431">
        <v>10</v>
      </c>
      <c r="G613" s="431">
        <v>1200</v>
      </c>
      <c r="H613" s="431">
        <v>10000</v>
      </c>
      <c r="I613" s="431" t="s">
        <v>777</v>
      </c>
      <c r="J613" s="432" t="s">
        <v>791</v>
      </c>
      <c r="K613" s="432">
        <v>-90</v>
      </c>
      <c r="L613" s="432">
        <v>230</v>
      </c>
      <c r="M613" s="436" t="s">
        <v>631</v>
      </c>
      <c r="N613" s="436">
        <v>60</v>
      </c>
      <c r="O613" s="431" t="s">
        <v>168</v>
      </c>
      <c r="P613" s="431" t="s">
        <v>168</v>
      </c>
      <c r="Q613" s="430">
        <f>C613*((100-Discounts!$B$41)/100)</f>
        <v>96.300000000000011</v>
      </c>
      <c r="R613" t="str">
        <f>IF(ISNUMBER(Table3[[#This Row],[Thickness]]), "Zenith", "")</f>
        <v>Zenith</v>
      </c>
      <c r="S613">
        <v>6</v>
      </c>
      <c r="T613">
        <v>250</v>
      </c>
    </row>
    <row r="614" spans="1:20" ht="27" thickBot="1" x14ac:dyDescent="0.9">
      <c r="A614" s="389"/>
      <c r="B614" s="390"/>
      <c r="C614" s="391"/>
      <c r="D614" s="391"/>
      <c r="E614" s="391"/>
      <c r="F614" s="392" t="s">
        <v>515</v>
      </c>
      <c r="G614" s="392">
        <v>0</v>
      </c>
      <c r="H614" s="333">
        <v>0</v>
      </c>
      <c r="I614" s="217" t="s">
        <v>777</v>
      </c>
      <c r="J614" t="s">
        <v>791</v>
      </c>
      <c r="M614" s="348"/>
      <c r="N614" s="343"/>
      <c r="O614" s="217" t="s">
        <v>168</v>
      </c>
      <c r="P614" s="385" t="s">
        <v>168</v>
      </c>
      <c r="Q614" s="393" t="s">
        <v>323</v>
      </c>
      <c r="R614" t="str">
        <f>IF(ISNUMBER(Table3[[#This Row],[Thickness]]), "Zenith", "")</f>
        <v/>
      </c>
    </row>
    <row r="615" spans="1:20" ht="27" thickTop="1" x14ac:dyDescent="0.85">
      <c r="A615" s="429" t="s">
        <v>505</v>
      </c>
      <c r="B615" s="429" t="s">
        <v>515</v>
      </c>
      <c r="C615" s="430">
        <v>26.5</v>
      </c>
      <c r="D615" s="430"/>
      <c r="E615" s="430" t="s">
        <v>757</v>
      </c>
      <c r="F615" s="431">
        <v>1</v>
      </c>
      <c r="G615" s="431">
        <v>1200</v>
      </c>
      <c r="H615" s="431">
        <v>10000</v>
      </c>
      <c r="I615" s="431" t="s">
        <v>777</v>
      </c>
      <c r="J615" s="432" t="s">
        <v>791</v>
      </c>
      <c r="K615" s="432">
        <v>-90</v>
      </c>
      <c r="L615" s="432">
        <v>230</v>
      </c>
      <c r="M615" s="436" t="s">
        <v>637</v>
      </c>
      <c r="N615" s="436">
        <v>60</v>
      </c>
      <c r="O615" s="431" t="s">
        <v>168</v>
      </c>
      <c r="P615" s="431" t="s">
        <v>168</v>
      </c>
      <c r="Q615" s="430">
        <f>C615*((100-Discounts!$B$42)/100)</f>
        <v>10.600000000000001</v>
      </c>
      <c r="R615" t="str">
        <f>IF(ISNUMBER(Table3[[#This Row],[Thickness]]), "Zenith", "")</f>
        <v>Zenith</v>
      </c>
      <c r="S615">
        <v>6</v>
      </c>
      <c r="T615">
        <v>250</v>
      </c>
    </row>
    <row r="616" spans="1:20" x14ac:dyDescent="0.85">
      <c r="A616" s="433" t="s">
        <v>506</v>
      </c>
      <c r="B616" s="429" t="s">
        <v>515</v>
      </c>
      <c r="C616" s="434">
        <v>38.5</v>
      </c>
      <c r="D616" s="434"/>
      <c r="E616" s="430" t="s">
        <v>757</v>
      </c>
      <c r="F616" s="435">
        <v>1.5</v>
      </c>
      <c r="G616" s="435">
        <v>1200</v>
      </c>
      <c r="H616" s="435">
        <v>10000</v>
      </c>
      <c r="I616" s="431" t="s">
        <v>777</v>
      </c>
      <c r="J616" s="432" t="s">
        <v>791</v>
      </c>
      <c r="K616" s="432">
        <v>-90</v>
      </c>
      <c r="L616" s="432">
        <v>230</v>
      </c>
      <c r="M616" s="436" t="s">
        <v>637</v>
      </c>
      <c r="N616" s="436">
        <v>60</v>
      </c>
      <c r="O616" s="431" t="s">
        <v>168</v>
      </c>
      <c r="P616" s="431" t="s">
        <v>168</v>
      </c>
      <c r="Q616" s="434">
        <f>C616*((100-Discounts!$B$42)/100)</f>
        <v>15.4</v>
      </c>
      <c r="R616" t="str">
        <f>IF(ISNUMBER(Table3[[#This Row],[Thickness]]), "Zenith", "")</f>
        <v>Zenith</v>
      </c>
      <c r="S616">
        <v>6</v>
      </c>
      <c r="T616">
        <v>250</v>
      </c>
    </row>
    <row r="617" spans="1:20" x14ac:dyDescent="0.85">
      <c r="A617" s="429" t="s">
        <v>507</v>
      </c>
      <c r="B617" s="429" t="s">
        <v>515</v>
      </c>
      <c r="C617" s="430">
        <v>50</v>
      </c>
      <c r="D617" s="430"/>
      <c r="E617" s="430" t="s">
        <v>757</v>
      </c>
      <c r="F617" s="431">
        <v>2</v>
      </c>
      <c r="G617" s="431">
        <v>1200</v>
      </c>
      <c r="H617" s="431">
        <v>10000</v>
      </c>
      <c r="I617" s="431" t="s">
        <v>777</v>
      </c>
      <c r="J617" s="432" t="s">
        <v>791</v>
      </c>
      <c r="K617" s="432">
        <v>-90</v>
      </c>
      <c r="L617" s="432">
        <v>230</v>
      </c>
      <c r="M617" s="436" t="s">
        <v>637</v>
      </c>
      <c r="N617" s="436">
        <v>60</v>
      </c>
      <c r="O617" s="431" t="s">
        <v>168</v>
      </c>
      <c r="P617" s="431" t="s">
        <v>168</v>
      </c>
      <c r="Q617" s="430">
        <f>C617*((100-Discounts!$B$42)/100)</f>
        <v>20</v>
      </c>
      <c r="R617" t="str">
        <f>IF(ISNUMBER(Table3[[#This Row],[Thickness]]), "Zenith", "")</f>
        <v>Zenith</v>
      </c>
      <c r="S617">
        <v>6</v>
      </c>
      <c r="T617">
        <v>250</v>
      </c>
    </row>
    <row r="618" spans="1:20" x14ac:dyDescent="0.85">
      <c r="A618" s="433" t="s">
        <v>508</v>
      </c>
      <c r="B618" s="429" t="s">
        <v>515</v>
      </c>
      <c r="C618" s="434">
        <v>72.25</v>
      </c>
      <c r="D618" s="434"/>
      <c r="E618" s="430" t="s">
        <v>757</v>
      </c>
      <c r="F618" s="435">
        <v>3</v>
      </c>
      <c r="G618" s="435">
        <v>1200</v>
      </c>
      <c r="H618" s="435">
        <v>10000</v>
      </c>
      <c r="I618" s="431" t="s">
        <v>777</v>
      </c>
      <c r="J618" s="432" t="s">
        <v>791</v>
      </c>
      <c r="K618" s="432">
        <v>-90</v>
      </c>
      <c r="L618" s="432">
        <v>230</v>
      </c>
      <c r="M618" s="436" t="s">
        <v>637</v>
      </c>
      <c r="N618" s="436">
        <v>60</v>
      </c>
      <c r="O618" s="431" t="s">
        <v>168</v>
      </c>
      <c r="P618" s="431" t="s">
        <v>168</v>
      </c>
      <c r="Q618" s="434">
        <f>C618*((100-Discounts!$B$42)/100)</f>
        <v>28.900000000000002</v>
      </c>
      <c r="R618" t="str">
        <f>IF(ISNUMBER(Table3[[#This Row],[Thickness]]), "Zenith", "")</f>
        <v>Zenith</v>
      </c>
      <c r="S618">
        <v>6</v>
      </c>
      <c r="T618">
        <v>250</v>
      </c>
    </row>
    <row r="619" spans="1:20" x14ac:dyDescent="0.85">
      <c r="A619" s="429" t="s">
        <v>509</v>
      </c>
      <c r="B619" s="429" t="s">
        <v>515</v>
      </c>
      <c r="C619" s="430">
        <v>96.25</v>
      </c>
      <c r="D619" s="430"/>
      <c r="E619" s="430" t="s">
        <v>757</v>
      </c>
      <c r="F619" s="431">
        <v>4</v>
      </c>
      <c r="G619" s="431">
        <v>1200</v>
      </c>
      <c r="H619" s="431">
        <v>10000</v>
      </c>
      <c r="I619" s="431" t="s">
        <v>777</v>
      </c>
      <c r="J619" s="432" t="s">
        <v>791</v>
      </c>
      <c r="K619" s="432">
        <v>-90</v>
      </c>
      <c r="L619" s="432">
        <v>230</v>
      </c>
      <c r="M619" s="436" t="s">
        <v>637</v>
      </c>
      <c r="N619" s="436">
        <v>60</v>
      </c>
      <c r="O619" s="431" t="s">
        <v>168</v>
      </c>
      <c r="P619" s="431" t="s">
        <v>168</v>
      </c>
      <c r="Q619" s="430">
        <f>C619*((100-Discounts!$B$42)/100)</f>
        <v>38.5</v>
      </c>
      <c r="R619" t="str">
        <f>IF(ISNUMBER(Table3[[#This Row],[Thickness]]), "Zenith", "")</f>
        <v>Zenith</v>
      </c>
      <c r="S619">
        <v>6</v>
      </c>
      <c r="T619">
        <v>250</v>
      </c>
    </row>
    <row r="620" spans="1:20" x14ac:dyDescent="0.85">
      <c r="A620" s="433" t="s">
        <v>510</v>
      </c>
      <c r="B620" s="429" t="s">
        <v>515</v>
      </c>
      <c r="C620" s="434">
        <v>120.5</v>
      </c>
      <c r="D620" s="434"/>
      <c r="E620" s="430" t="s">
        <v>757</v>
      </c>
      <c r="F620" s="435">
        <v>5</v>
      </c>
      <c r="G620" s="435">
        <v>1200</v>
      </c>
      <c r="H620" s="435">
        <v>10000</v>
      </c>
      <c r="I620" s="431" t="s">
        <v>777</v>
      </c>
      <c r="J620" s="432" t="s">
        <v>791</v>
      </c>
      <c r="K620" s="432">
        <v>-90</v>
      </c>
      <c r="L620" s="432">
        <v>230</v>
      </c>
      <c r="M620" s="436" t="s">
        <v>637</v>
      </c>
      <c r="N620" s="436">
        <v>60</v>
      </c>
      <c r="O620" s="431" t="s">
        <v>168</v>
      </c>
      <c r="P620" s="431" t="s">
        <v>168</v>
      </c>
      <c r="Q620" s="434">
        <f>C620*((100-Discounts!$B$42)/100)</f>
        <v>48.2</v>
      </c>
      <c r="R620" t="str">
        <f>IF(ISNUMBER(Table3[[#This Row],[Thickness]]), "Zenith", "")</f>
        <v>Zenith</v>
      </c>
      <c r="S620">
        <v>6</v>
      </c>
      <c r="T620">
        <v>250</v>
      </c>
    </row>
    <row r="621" spans="1:20" x14ac:dyDescent="0.85">
      <c r="A621" s="429" t="s">
        <v>511</v>
      </c>
      <c r="B621" s="429" t="s">
        <v>515</v>
      </c>
      <c r="C621" s="430">
        <v>144.5</v>
      </c>
      <c r="D621" s="430"/>
      <c r="E621" s="430" t="s">
        <v>757</v>
      </c>
      <c r="F621" s="431">
        <v>6</v>
      </c>
      <c r="G621" s="431">
        <v>1200</v>
      </c>
      <c r="H621" s="431">
        <v>10000</v>
      </c>
      <c r="I621" s="431" t="s">
        <v>777</v>
      </c>
      <c r="J621" s="432" t="s">
        <v>791</v>
      </c>
      <c r="K621" s="432">
        <v>-90</v>
      </c>
      <c r="L621" s="432">
        <v>230</v>
      </c>
      <c r="M621" s="436" t="s">
        <v>637</v>
      </c>
      <c r="N621" s="436">
        <v>60</v>
      </c>
      <c r="O621" s="431" t="s">
        <v>168</v>
      </c>
      <c r="P621" s="431" t="s">
        <v>168</v>
      </c>
      <c r="Q621" s="430">
        <f>C621*((100-Discounts!$B$42)/100)</f>
        <v>57.800000000000004</v>
      </c>
      <c r="R621" t="str">
        <f>IF(ISNUMBER(Table3[[#This Row],[Thickness]]), "Zenith", "")</f>
        <v>Zenith</v>
      </c>
      <c r="S621">
        <v>6</v>
      </c>
      <c r="T621">
        <v>250</v>
      </c>
    </row>
    <row r="622" spans="1:20" x14ac:dyDescent="0.85">
      <c r="A622" s="433" t="s">
        <v>512</v>
      </c>
      <c r="B622" s="429" t="s">
        <v>515</v>
      </c>
      <c r="C622" s="434">
        <v>192.5</v>
      </c>
      <c r="D622" s="434"/>
      <c r="E622" s="430" t="s">
        <v>757</v>
      </c>
      <c r="F622" s="435">
        <v>8</v>
      </c>
      <c r="G622" s="435">
        <v>1200</v>
      </c>
      <c r="H622" s="435">
        <v>5000</v>
      </c>
      <c r="I622" s="431" t="s">
        <v>777</v>
      </c>
      <c r="J622" s="432" t="s">
        <v>791</v>
      </c>
      <c r="K622" s="432">
        <v>-90</v>
      </c>
      <c r="L622" s="432">
        <v>230</v>
      </c>
      <c r="M622" s="436" t="s">
        <v>637</v>
      </c>
      <c r="N622" s="436">
        <v>60</v>
      </c>
      <c r="O622" s="431" t="s">
        <v>168</v>
      </c>
      <c r="P622" s="431" t="s">
        <v>168</v>
      </c>
      <c r="Q622" s="434">
        <f>C622*((100-Discounts!$B$42)/100)</f>
        <v>77</v>
      </c>
      <c r="R622" t="str">
        <f>IF(ISNUMBER(Table3[[#This Row],[Thickness]]), "Zenith", "")</f>
        <v>Zenith</v>
      </c>
      <c r="S622">
        <v>6</v>
      </c>
      <c r="T622">
        <v>250</v>
      </c>
    </row>
    <row r="623" spans="1:20" x14ac:dyDescent="0.85">
      <c r="A623" s="429" t="s">
        <v>512</v>
      </c>
      <c r="B623" s="429" t="s">
        <v>515</v>
      </c>
      <c r="C623" s="430">
        <v>192.5</v>
      </c>
      <c r="D623" s="430"/>
      <c r="E623" s="430" t="s">
        <v>757</v>
      </c>
      <c r="F623" s="431">
        <v>8</v>
      </c>
      <c r="G623" s="431">
        <v>1200</v>
      </c>
      <c r="H623" s="431">
        <v>10000</v>
      </c>
      <c r="I623" s="431" t="s">
        <v>777</v>
      </c>
      <c r="J623" s="432" t="s">
        <v>791</v>
      </c>
      <c r="K623" s="432">
        <v>-90</v>
      </c>
      <c r="L623" s="432">
        <v>230</v>
      </c>
      <c r="M623" s="436" t="s">
        <v>637</v>
      </c>
      <c r="N623" s="436">
        <v>60</v>
      </c>
      <c r="O623" s="431" t="s">
        <v>168</v>
      </c>
      <c r="P623" s="431" t="s">
        <v>168</v>
      </c>
      <c r="Q623" s="430">
        <f>C623*((100-Discounts!$B$42)/100)</f>
        <v>77</v>
      </c>
      <c r="R623" t="str">
        <f>IF(ISNUMBER(Table3[[#This Row],[Thickness]]), "Zenith", "")</f>
        <v>Zenith</v>
      </c>
      <c r="S623">
        <v>6</v>
      </c>
      <c r="T623">
        <v>250</v>
      </c>
    </row>
    <row r="624" spans="1:20" x14ac:dyDescent="0.85">
      <c r="A624" s="433" t="s">
        <v>513</v>
      </c>
      <c r="B624" s="429" t="s">
        <v>515</v>
      </c>
      <c r="C624" s="434">
        <v>240.75</v>
      </c>
      <c r="D624" s="434"/>
      <c r="E624" s="430" t="s">
        <v>757</v>
      </c>
      <c r="F624" s="435">
        <v>10</v>
      </c>
      <c r="G624" s="435">
        <v>1200</v>
      </c>
      <c r="H624" s="435">
        <v>5000</v>
      </c>
      <c r="I624" s="431" t="s">
        <v>777</v>
      </c>
      <c r="J624" s="432" t="s">
        <v>791</v>
      </c>
      <c r="K624" s="432">
        <v>-90</v>
      </c>
      <c r="L624" s="432">
        <v>230</v>
      </c>
      <c r="M624" s="436" t="s">
        <v>637</v>
      </c>
      <c r="N624" s="436">
        <v>60</v>
      </c>
      <c r="O624" s="431" t="s">
        <v>168</v>
      </c>
      <c r="P624" s="431" t="s">
        <v>168</v>
      </c>
      <c r="Q624" s="434">
        <f>C624*((100-Discounts!$B$42)/100)</f>
        <v>96.300000000000011</v>
      </c>
      <c r="R624" t="str">
        <f>IF(ISNUMBER(Table3[[#This Row],[Thickness]]), "Zenith", "")</f>
        <v>Zenith</v>
      </c>
      <c r="S624">
        <v>6</v>
      </c>
      <c r="T624">
        <v>250</v>
      </c>
    </row>
    <row r="625" spans="1:20" x14ac:dyDescent="0.85">
      <c r="A625" s="429" t="s">
        <v>513</v>
      </c>
      <c r="B625" s="429" t="s">
        <v>515</v>
      </c>
      <c r="C625" s="430">
        <v>240.75</v>
      </c>
      <c r="D625" s="430"/>
      <c r="E625" s="430" t="s">
        <v>757</v>
      </c>
      <c r="F625" s="431">
        <v>10</v>
      </c>
      <c r="G625" s="431">
        <v>1200</v>
      </c>
      <c r="H625" s="431">
        <v>10000</v>
      </c>
      <c r="I625" s="431" t="s">
        <v>777</v>
      </c>
      <c r="J625" s="432" t="s">
        <v>791</v>
      </c>
      <c r="K625" s="432">
        <v>-90</v>
      </c>
      <c r="L625" s="432">
        <v>230</v>
      </c>
      <c r="M625" s="436" t="s">
        <v>637</v>
      </c>
      <c r="N625" s="436">
        <v>60</v>
      </c>
      <c r="O625" s="431" t="s">
        <v>168</v>
      </c>
      <c r="P625" s="431" t="s">
        <v>168</v>
      </c>
      <c r="Q625" s="430">
        <f>C625*((100-Discounts!$B$42)/100)</f>
        <v>96.300000000000011</v>
      </c>
      <c r="R625" t="str">
        <f>IF(ISNUMBER(Table3[[#This Row],[Thickness]]), "Zenith", "")</f>
        <v>Zenith</v>
      </c>
      <c r="S625">
        <v>6</v>
      </c>
      <c r="T625">
        <v>250</v>
      </c>
    </row>
    <row r="626" spans="1:20" x14ac:dyDescent="0.85">
      <c r="A626" s="433" t="s">
        <v>514</v>
      </c>
      <c r="B626" s="429" t="s">
        <v>515</v>
      </c>
      <c r="C626" s="434">
        <v>288.75</v>
      </c>
      <c r="D626" s="434"/>
      <c r="E626" s="430" t="s">
        <v>757</v>
      </c>
      <c r="F626" s="435">
        <v>12</v>
      </c>
      <c r="G626" s="435">
        <v>1200</v>
      </c>
      <c r="H626" s="435">
        <v>5000</v>
      </c>
      <c r="I626" s="431" t="s">
        <v>777</v>
      </c>
      <c r="J626" s="432" t="s">
        <v>791</v>
      </c>
      <c r="K626" s="432">
        <v>-90</v>
      </c>
      <c r="L626" s="432">
        <v>230</v>
      </c>
      <c r="M626" s="436" t="s">
        <v>637</v>
      </c>
      <c r="N626" s="436">
        <v>60</v>
      </c>
      <c r="O626" s="431" t="s">
        <v>168</v>
      </c>
      <c r="P626" s="431" t="s">
        <v>168</v>
      </c>
      <c r="Q626" s="434">
        <f>C626*((100-Discounts!$B$42)/100)</f>
        <v>115.5</v>
      </c>
      <c r="R626" t="str">
        <f>IF(ISNUMBER(Table3[[#This Row],[Thickness]]), "Zenith", "")</f>
        <v>Zenith</v>
      </c>
      <c r="S626">
        <v>6</v>
      </c>
      <c r="T626">
        <v>250</v>
      </c>
    </row>
    <row r="627" spans="1:20" ht="27" thickBot="1" x14ac:dyDescent="0.9">
      <c r="A627" s="389"/>
      <c r="B627" s="390"/>
      <c r="C627" s="391"/>
      <c r="D627" s="391"/>
      <c r="E627" s="391"/>
      <c r="F627" s="392" t="s">
        <v>236</v>
      </c>
      <c r="G627" s="392">
        <v>0</v>
      </c>
      <c r="H627" s="333">
        <v>0</v>
      </c>
      <c r="I627" s="217" t="s">
        <v>777</v>
      </c>
      <c r="J627" t="s">
        <v>791</v>
      </c>
      <c r="M627" s="352"/>
      <c r="N627" s="349"/>
      <c r="O627" s="217" t="s">
        <v>168</v>
      </c>
      <c r="P627" s="385" t="s">
        <v>168</v>
      </c>
      <c r="Q627" s="393" t="s">
        <v>323</v>
      </c>
      <c r="R627" t="str">
        <f>IF(ISNUMBER(Table3[[#This Row],[Thickness]]), "Zenith", "")</f>
        <v/>
      </c>
    </row>
    <row r="628" spans="1:20" ht="27" thickTop="1" x14ac:dyDescent="0.85">
      <c r="A628" s="429" t="s">
        <v>517</v>
      </c>
      <c r="B628" s="429" t="s">
        <v>236</v>
      </c>
      <c r="C628" s="430">
        <v>50</v>
      </c>
      <c r="D628" s="430"/>
      <c r="E628" s="430" t="s">
        <v>757</v>
      </c>
      <c r="F628" s="431">
        <v>2</v>
      </c>
      <c r="G628" s="431">
        <v>1200</v>
      </c>
      <c r="H628" s="431">
        <v>10000</v>
      </c>
      <c r="I628" s="431" t="s">
        <v>777</v>
      </c>
      <c r="J628" s="432" t="s">
        <v>791</v>
      </c>
      <c r="K628" s="432">
        <v>-90</v>
      </c>
      <c r="L628" s="432">
        <v>230</v>
      </c>
      <c r="M628" s="432" t="s">
        <v>779</v>
      </c>
      <c r="N628" s="432">
        <v>60</v>
      </c>
      <c r="O628" s="431" t="s">
        <v>168</v>
      </c>
      <c r="P628" s="431" t="s">
        <v>168</v>
      </c>
      <c r="Q628" s="430">
        <f>C628*((100-Discounts!$B$43)/100)</f>
        <v>20</v>
      </c>
      <c r="R628" t="str">
        <f>IF(ISNUMBER(Table3[[#This Row],[Thickness]]), "Zenith", "")</f>
        <v>Zenith</v>
      </c>
      <c r="S628">
        <v>6</v>
      </c>
      <c r="T628">
        <v>250</v>
      </c>
    </row>
    <row r="629" spans="1:20" x14ac:dyDescent="0.85">
      <c r="A629" s="433" t="s">
        <v>518</v>
      </c>
      <c r="B629" s="429" t="s">
        <v>236</v>
      </c>
      <c r="C629" s="434">
        <v>72.25</v>
      </c>
      <c r="D629" s="434"/>
      <c r="E629" s="430" t="s">
        <v>757</v>
      </c>
      <c r="F629" s="435">
        <v>3</v>
      </c>
      <c r="G629" s="435">
        <v>1200</v>
      </c>
      <c r="H629" s="435">
        <v>10000</v>
      </c>
      <c r="I629" s="431" t="s">
        <v>777</v>
      </c>
      <c r="J629" s="432" t="s">
        <v>791</v>
      </c>
      <c r="K629" s="432">
        <v>-90</v>
      </c>
      <c r="L629" s="432">
        <v>230</v>
      </c>
      <c r="M629" s="432" t="s">
        <v>779</v>
      </c>
      <c r="N629" s="432">
        <v>60</v>
      </c>
      <c r="O629" s="431" t="s">
        <v>168</v>
      </c>
      <c r="P629" s="431" t="s">
        <v>168</v>
      </c>
      <c r="Q629" s="434">
        <f>C629*((100-Discounts!$B$43)/100)</f>
        <v>28.900000000000002</v>
      </c>
      <c r="R629" t="str">
        <f>IF(ISNUMBER(Table3[[#This Row],[Thickness]]), "Zenith", "")</f>
        <v>Zenith</v>
      </c>
      <c r="S629">
        <v>6</v>
      </c>
      <c r="T629">
        <v>250</v>
      </c>
    </row>
    <row r="630" spans="1:20" x14ac:dyDescent="0.85">
      <c r="A630" s="429" t="s">
        <v>519</v>
      </c>
      <c r="B630" s="429" t="s">
        <v>236</v>
      </c>
      <c r="C630" s="430">
        <v>120.5</v>
      </c>
      <c r="D630" s="430"/>
      <c r="E630" s="430" t="s">
        <v>757</v>
      </c>
      <c r="F630" s="431">
        <v>5</v>
      </c>
      <c r="G630" s="431">
        <v>1200</v>
      </c>
      <c r="H630" s="431">
        <v>10000</v>
      </c>
      <c r="I630" s="431" t="s">
        <v>777</v>
      </c>
      <c r="J630" s="432" t="s">
        <v>791</v>
      </c>
      <c r="K630" s="432">
        <v>-90</v>
      </c>
      <c r="L630" s="432">
        <v>230</v>
      </c>
      <c r="M630" s="432" t="s">
        <v>779</v>
      </c>
      <c r="N630" s="432">
        <v>60</v>
      </c>
      <c r="O630" s="431" t="s">
        <v>168</v>
      </c>
      <c r="P630" s="431" t="s">
        <v>168</v>
      </c>
      <c r="Q630" s="430">
        <f>C630*((100-Discounts!$B$43)/100)</f>
        <v>48.2</v>
      </c>
      <c r="R630" t="str">
        <f>IF(ISNUMBER(Table3[[#This Row],[Thickness]]), "Zenith", "")</f>
        <v>Zenith</v>
      </c>
      <c r="S630">
        <v>6</v>
      </c>
      <c r="T630">
        <v>250</v>
      </c>
    </row>
    <row r="631" spans="1:20" x14ac:dyDescent="0.85">
      <c r="A631" s="433" t="s">
        <v>520</v>
      </c>
      <c r="B631" s="429" t="s">
        <v>236</v>
      </c>
      <c r="C631" s="434">
        <v>240.75</v>
      </c>
      <c r="D631" s="434"/>
      <c r="E631" s="430" t="s">
        <v>757</v>
      </c>
      <c r="F631" s="435">
        <v>10</v>
      </c>
      <c r="G631" s="435">
        <v>1200</v>
      </c>
      <c r="H631" s="435">
        <v>5000</v>
      </c>
      <c r="I631" s="431" t="s">
        <v>777</v>
      </c>
      <c r="J631" s="432" t="s">
        <v>791</v>
      </c>
      <c r="K631" s="432">
        <v>-90</v>
      </c>
      <c r="L631" s="432">
        <v>230</v>
      </c>
      <c r="M631" s="432" t="s">
        <v>779</v>
      </c>
      <c r="N631" s="432">
        <v>60</v>
      </c>
      <c r="O631" s="431" t="s">
        <v>168</v>
      </c>
      <c r="P631" s="431" t="s">
        <v>168</v>
      </c>
      <c r="Q631" s="434">
        <f>C631*((100-Discounts!$B$43)/100)</f>
        <v>96.300000000000011</v>
      </c>
      <c r="R631" t="str">
        <f>IF(ISNUMBER(Table3[[#This Row],[Thickness]]), "Zenith", "")</f>
        <v>Zenith</v>
      </c>
      <c r="S631">
        <v>6</v>
      </c>
      <c r="T631">
        <v>250</v>
      </c>
    </row>
    <row r="632" spans="1:20" ht="27" thickBot="1" x14ac:dyDescent="0.9">
      <c r="A632" s="389"/>
      <c r="B632" s="390"/>
      <c r="C632" s="391"/>
      <c r="D632" s="391"/>
      <c r="E632" s="391"/>
      <c r="F632" s="392" t="s">
        <v>237</v>
      </c>
      <c r="G632" s="392">
        <v>0</v>
      </c>
      <c r="H632" s="333">
        <v>0</v>
      </c>
      <c r="I632" s="217" t="s">
        <v>777</v>
      </c>
      <c r="J632" t="s">
        <v>791</v>
      </c>
      <c r="M632" s="348"/>
      <c r="N632" s="343"/>
      <c r="O632" s="217" t="s">
        <v>168</v>
      </c>
      <c r="P632" s="385" t="s">
        <v>168</v>
      </c>
      <c r="Q632" s="393" t="s">
        <v>323</v>
      </c>
      <c r="R632" t="str">
        <f>IF(ISNUMBER(Table3[[#This Row],[Thickness]]), "Zenith", "")</f>
        <v/>
      </c>
    </row>
    <row r="633" spans="1:20" ht="27" thickTop="1" x14ac:dyDescent="0.85">
      <c r="A633" s="429" t="s">
        <v>521</v>
      </c>
      <c r="B633" s="429" t="s">
        <v>237</v>
      </c>
      <c r="C633" s="430">
        <v>26.5</v>
      </c>
      <c r="D633" s="430"/>
      <c r="E633" s="430" t="s">
        <v>757</v>
      </c>
      <c r="F633" s="431">
        <v>1</v>
      </c>
      <c r="G633" s="431">
        <v>1200</v>
      </c>
      <c r="H633" s="431">
        <v>10000</v>
      </c>
      <c r="I633" s="431" t="s">
        <v>777</v>
      </c>
      <c r="J633" s="432" t="s">
        <v>791</v>
      </c>
      <c r="K633" s="432">
        <v>-90</v>
      </c>
      <c r="L633" s="432">
        <v>230</v>
      </c>
      <c r="M633" s="436" t="s">
        <v>780</v>
      </c>
      <c r="N633" s="436">
        <v>40</v>
      </c>
      <c r="O633" s="431" t="s">
        <v>168</v>
      </c>
      <c r="P633" s="431" t="s">
        <v>168</v>
      </c>
      <c r="Q633" s="430">
        <f>C633*((100-Discounts!$B$44)/100)</f>
        <v>10.600000000000001</v>
      </c>
      <c r="R633" t="str">
        <f>IF(ISNUMBER(Table3[[#This Row],[Thickness]]), "Zenith", "")</f>
        <v>Zenith</v>
      </c>
      <c r="S633">
        <v>6</v>
      </c>
      <c r="T633">
        <v>250</v>
      </c>
    </row>
    <row r="634" spans="1:20" x14ac:dyDescent="0.85">
      <c r="A634" s="433" t="s">
        <v>522</v>
      </c>
      <c r="B634" s="429" t="s">
        <v>237</v>
      </c>
      <c r="C634" s="434">
        <v>38.5</v>
      </c>
      <c r="D634" s="434"/>
      <c r="E634" s="430" t="s">
        <v>757</v>
      </c>
      <c r="F634" s="435">
        <v>1.5</v>
      </c>
      <c r="G634" s="435">
        <v>1200</v>
      </c>
      <c r="H634" s="435">
        <v>10000</v>
      </c>
      <c r="I634" s="431" t="s">
        <v>777</v>
      </c>
      <c r="J634" s="432" t="s">
        <v>791</v>
      </c>
      <c r="K634" s="432">
        <v>-90</v>
      </c>
      <c r="L634" s="432">
        <v>230</v>
      </c>
      <c r="M634" s="436" t="s">
        <v>780</v>
      </c>
      <c r="N634" s="436">
        <v>40</v>
      </c>
      <c r="O634" s="431" t="s">
        <v>168</v>
      </c>
      <c r="P634" s="431" t="s">
        <v>168</v>
      </c>
      <c r="Q634" s="434">
        <f>C634*((100-Discounts!$B$44)/100)</f>
        <v>15.4</v>
      </c>
      <c r="R634" t="str">
        <f>IF(ISNUMBER(Table3[[#This Row],[Thickness]]), "Zenith", "")</f>
        <v>Zenith</v>
      </c>
      <c r="S634">
        <v>6</v>
      </c>
      <c r="T634">
        <v>250</v>
      </c>
    </row>
    <row r="635" spans="1:20" x14ac:dyDescent="0.85">
      <c r="A635" s="429" t="s">
        <v>523</v>
      </c>
      <c r="B635" s="429" t="s">
        <v>237</v>
      </c>
      <c r="C635" s="430">
        <v>50</v>
      </c>
      <c r="D635" s="430"/>
      <c r="E635" s="430" t="s">
        <v>757</v>
      </c>
      <c r="F635" s="431">
        <v>2</v>
      </c>
      <c r="G635" s="431">
        <v>1200</v>
      </c>
      <c r="H635" s="431">
        <v>10000</v>
      </c>
      <c r="I635" s="431" t="s">
        <v>777</v>
      </c>
      <c r="J635" s="432" t="s">
        <v>791</v>
      </c>
      <c r="K635" s="432">
        <v>-90</v>
      </c>
      <c r="L635" s="432">
        <v>230</v>
      </c>
      <c r="M635" s="436" t="s">
        <v>780</v>
      </c>
      <c r="N635" s="436">
        <v>40</v>
      </c>
      <c r="O635" s="431" t="s">
        <v>168</v>
      </c>
      <c r="P635" s="431" t="s">
        <v>168</v>
      </c>
      <c r="Q635" s="430">
        <f>C635*((100-Discounts!$B$44)/100)</f>
        <v>20</v>
      </c>
      <c r="R635" t="str">
        <f>IF(ISNUMBER(Table3[[#This Row],[Thickness]]), "Zenith", "")</f>
        <v>Zenith</v>
      </c>
      <c r="S635">
        <v>6</v>
      </c>
      <c r="T635">
        <v>250</v>
      </c>
    </row>
    <row r="636" spans="1:20" x14ac:dyDescent="0.85">
      <c r="A636" s="433" t="s">
        <v>524</v>
      </c>
      <c r="B636" s="429" t="s">
        <v>237</v>
      </c>
      <c r="C636" s="434">
        <v>72.25</v>
      </c>
      <c r="D636" s="434"/>
      <c r="E636" s="430" t="s">
        <v>757</v>
      </c>
      <c r="F636" s="435">
        <v>3</v>
      </c>
      <c r="G636" s="435">
        <v>1200</v>
      </c>
      <c r="H636" s="435">
        <v>10000</v>
      </c>
      <c r="I636" s="431" t="s">
        <v>777</v>
      </c>
      <c r="J636" s="432" t="s">
        <v>791</v>
      </c>
      <c r="K636" s="432">
        <v>-90</v>
      </c>
      <c r="L636" s="432">
        <v>230</v>
      </c>
      <c r="M636" s="436" t="s">
        <v>780</v>
      </c>
      <c r="N636" s="436">
        <v>40</v>
      </c>
      <c r="O636" s="431" t="s">
        <v>168</v>
      </c>
      <c r="P636" s="431" t="s">
        <v>168</v>
      </c>
      <c r="Q636" s="434">
        <f>C636*((100-Discounts!$B$44)/100)</f>
        <v>28.900000000000002</v>
      </c>
      <c r="R636" t="str">
        <f>IF(ISNUMBER(Table3[[#This Row],[Thickness]]), "Zenith", "")</f>
        <v>Zenith</v>
      </c>
      <c r="S636">
        <v>6</v>
      </c>
      <c r="T636">
        <v>250</v>
      </c>
    </row>
    <row r="637" spans="1:20" x14ac:dyDescent="0.85">
      <c r="A637" s="429" t="s">
        <v>525</v>
      </c>
      <c r="B637" s="429" t="s">
        <v>237</v>
      </c>
      <c r="C637" s="430">
        <v>96.25</v>
      </c>
      <c r="D637" s="430"/>
      <c r="E637" s="430" t="s">
        <v>757</v>
      </c>
      <c r="F637" s="431">
        <v>4</v>
      </c>
      <c r="G637" s="431">
        <v>1200</v>
      </c>
      <c r="H637" s="431">
        <v>10000</v>
      </c>
      <c r="I637" s="431" t="s">
        <v>777</v>
      </c>
      <c r="J637" s="432" t="s">
        <v>791</v>
      </c>
      <c r="K637" s="432">
        <v>-90</v>
      </c>
      <c r="L637" s="432">
        <v>230</v>
      </c>
      <c r="M637" s="436" t="s">
        <v>780</v>
      </c>
      <c r="N637" s="436">
        <v>40</v>
      </c>
      <c r="O637" s="431" t="s">
        <v>168</v>
      </c>
      <c r="P637" s="431" t="s">
        <v>168</v>
      </c>
      <c r="Q637" s="430">
        <f>C637*((100-Discounts!$B$44)/100)</f>
        <v>38.5</v>
      </c>
      <c r="R637" t="str">
        <f>IF(ISNUMBER(Table3[[#This Row],[Thickness]]), "Zenith", "")</f>
        <v>Zenith</v>
      </c>
      <c r="S637">
        <v>6</v>
      </c>
      <c r="T637">
        <v>250</v>
      </c>
    </row>
    <row r="638" spans="1:20" x14ac:dyDescent="0.85">
      <c r="A638" s="433" t="s">
        <v>526</v>
      </c>
      <c r="B638" s="429" t="s">
        <v>237</v>
      </c>
      <c r="C638" s="434">
        <v>120.5</v>
      </c>
      <c r="D638" s="434"/>
      <c r="E638" s="430" t="s">
        <v>757</v>
      </c>
      <c r="F638" s="435">
        <v>5</v>
      </c>
      <c r="G638" s="435">
        <v>1200</v>
      </c>
      <c r="H638" s="435">
        <v>10000</v>
      </c>
      <c r="I638" s="431" t="s">
        <v>777</v>
      </c>
      <c r="J638" s="432" t="s">
        <v>791</v>
      </c>
      <c r="K638" s="432">
        <v>-90</v>
      </c>
      <c r="L638" s="432">
        <v>230</v>
      </c>
      <c r="M638" s="436" t="s">
        <v>780</v>
      </c>
      <c r="N638" s="436">
        <v>40</v>
      </c>
      <c r="O638" s="431" t="s">
        <v>168</v>
      </c>
      <c r="P638" s="431" t="s">
        <v>168</v>
      </c>
      <c r="Q638" s="434">
        <f>C638*((100-Discounts!$B$44)/100)</f>
        <v>48.2</v>
      </c>
      <c r="R638" t="str">
        <f>IF(ISNUMBER(Table3[[#This Row],[Thickness]]), "Zenith", "")</f>
        <v>Zenith</v>
      </c>
      <c r="S638">
        <v>6</v>
      </c>
      <c r="T638">
        <v>250</v>
      </c>
    </row>
    <row r="639" spans="1:20" x14ac:dyDescent="0.85">
      <c r="A639" s="429" t="s">
        <v>527</v>
      </c>
      <c r="B639" s="429" t="s">
        <v>237</v>
      </c>
      <c r="C639" s="430">
        <v>144.5</v>
      </c>
      <c r="D639" s="430"/>
      <c r="E639" s="430" t="s">
        <v>757</v>
      </c>
      <c r="F639" s="431">
        <v>6</v>
      </c>
      <c r="G639" s="431">
        <v>1200</v>
      </c>
      <c r="H639" s="431">
        <v>10000</v>
      </c>
      <c r="I639" s="431" t="s">
        <v>777</v>
      </c>
      <c r="J639" s="432" t="s">
        <v>791</v>
      </c>
      <c r="K639" s="432">
        <v>-90</v>
      </c>
      <c r="L639" s="432">
        <v>230</v>
      </c>
      <c r="M639" s="436" t="s">
        <v>780</v>
      </c>
      <c r="N639" s="436">
        <v>40</v>
      </c>
      <c r="O639" s="431" t="s">
        <v>168</v>
      </c>
      <c r="P639" s="431" t="s">
        <v>168</v>
      </c>
      <c r="Q639" s="430">
        <f>C639*((100-Discounts!$B$44)/100)</f>
        <v>57.800000000000004</v>
      </c>
      <c r="R639" t="str">
        <f>IF(ISNUMBER(Table3[[#This Row],[Thickness]]), "Zenith", "")</f>
        <v>Zenith</v>
      </c>
      <c r="S639">
        <v>6</v>
      </c>
      <c r="T639">
        <v>250</v>
      </c>
    </row>
    <row r="640" spans="1:20" x14ac:dyDescent="0.85">
      <c r="A640" s="433" t="s">
        <v>528</v>
      </c>
      <c r="B640" s="429" t="s">
        <v>237</v>
      </c>
      <c r="C640" s="434">
        <v>192.5</v>
      </c>
      <c r="D640" s="434"/>
      <c r="E640" s="430" t="s">
        <v>757</v>
      </c>
      <c r="F640" s="435">
        <v>8</v>
      </c>
      <c r="G640" s="435">
        <v>1200</v>
      </c>
      <c r="H640" s="435">
        <v>10000</v>
      </c>
      <c r="I640" s="431" t="s">
        <v>777</v>
      </c>
      <c r="J640" s="432" t="s">
        <v>791</v>
      </c>
      <c r="K640" s="432">
        <v>-90</v>
      </c>
      <c r="L640" s="432">
        <v>230</v>
      </c>
      <c r="M640" s="436" t="s">
        <v>780</v>
      </c>
      <c r="N640" s="436">
        <v>40</v>
      </c>
      <c r="O640" s="431" t="s">
        <v>168</v>
      </c>
      <c r="P640" s="431" t="s">
        <v>168</v>
      </c>
      <c r="Q640" s="434">
        <f>C640*((100-Discounts!$B$44)/100)</f>
        <v>77</v>
      </c>
      <c r="R640" t="str">
        <f>IF(ISNUMBER(Table3[[#This Row],[Thickness]]), "Zenith", "")</f>
        <v>Zenith</v>
      </c>
      <c r="S640">
        <v>6</v>
      </c>
      <c r="T640">
        <v>250</v>
      </c>
    </row>
    <row r="641" spans="1:20" x14ac:dyDescent="0.85">
      <c r="A641" s="429" t="s">
        <v>529</v>
      </c>
      <c r="B641" s="429" t="s">
        <v>237</v>
      </c>
      <c r="C641" s="430">
        <v>240.75</v>
      </c>
      <c r="D641" s="430"/>
      <c r="E641" s="430" t="s">
        <v>757</v>
      </c>
      <c r="F641" s="431">
        <v>10</v>
      </c>
      <c r="G641" s="431">
        <v>1200</v>
      </c>
      <c r="H641" s="431">
        <v>10000</v>
      </c>
      <c r="I641" s="431" t="s">
        <v>777</v>
      </c>
      <c r="J641" s="432" t="s">
        <v>791</v>
      </c>
      <c r="K641" s="432">
        <v>-90</v>
      </c>
      <c r="L641" s="432">
        <v>230</v>
      </c>
      <c r="M641" s="436" t="s">
        <v>780</v>
      </c>
      <c r="N641" s="436">
        <v>40</v>
      </c>
      <c r="O641" s="431" t="s">
        <v>168</v>
      </c>
      <c r="P641" s="431" t="s">
        <v>168</v>
      </c>
      <c r="Q641" s="430">
        <f>C641*((100-Discounts!$B$44)/100)</f>
        <v>96.300000000000011</v>
      </c>
      <c r="R641" t="str">
        <f>IF(ISNUMBER(Table3[[#This Row],[Thickness]]), "Zenith", "")</f>
        <v>Zenith</v>
      </c>
      <c r="S641">
        <v>6</v>
      </c>
      <c r="T641">
        <v>250</v>
      </c>
    </row>
    <row r="642" spans="1:20" ht="53.5" thickBot="1" x14ac:dyDescent="0.9">
      <c r="A642" s="148"/>
      <c r="B642" s="148"/>
      <c r="C642" s="394"/>
      <c r="D642" s="394"/>
      <c r="E642" s="394"/>
      <c r="F642" s="395" t="s">
        <v>530</v>
      </c>
      <c r="G642" s="395">
        <v>0</v>
      </c>
      <c r="H642" s="334">
        <v>0</v>
      </c>
      <c r="I642" s="217" t="s">
        <v>777</v>
      </c>
      <c r="M642" s="342"/>
      <c r="N642" s="343"/>
      <c r="O642" s="217" t="s">
        <v>168</v>
      </c>
      <c r="P642" s="385" t="s">
        <v>168</v>
      </c>
      <c r="Q642" s="396"/>
      <c r="R642" t="str">
        <f>IF(ISNUMBER(Table3[[#This Row],[Thickness]]), "Zenith", "")</f>
        <v/>
      </c>
    </row>
    <row r="643" spans="1:20" ht="27.5" thickTop="1" thickBot="1" x14ac:dyDescent="0.9">
      <c r="A643" s="149"/>
      <c r="B643" s="305"/>
      <c r="C643" s="272"/>
      <c r="D643" s="272"/>
      <c r="E643" s="272"/>
      <c r="F643" s="270" t="s">
        <v>531</v>
      </c>
      <c r="G643" s="270">
        <v>0</v>
      </c>
      <c r="H643" s="271">
        <v>0</v>
      </c>
      <c r="I643" s="217" t="s">
        <v>777</v>
      </c>
      <c r="M643" s="234"/>
      <c r="N643" s="230"/>
      <c r="O643" s="265" t="s">
        <v>168</v>
      </c>
      <c r="P643" s="235" t="s">
        <v>168</v>
      </c>
      <c r="Q643" s="273" t="s">
        <v>323</v>
      </c>
      <c r="R643" t="str">
        <f>IF(ISNUMBER(Table3[[#This Row],[Thickness]]), "Zenith", "")</f>
        <v/>
      </c>
    </row>
    <row r="644" spans="1:20" ht="27" thickTop="1" x14ac:dyDescent="0.85">
      <c r="A644" s="429" t="s">
        <v>532</v>
      </c>
      <c r="B644" s="429" t="s">
        <v>531</v>
      </c>
      <c r="C644" s="430">
        <v>80</v>
      </c>
      <c r="D644" s="430"/>
      <c r="E644" s="430" t="s">
        <v>757</v>
      </c>
      <c r="F644" s="431">
        <v>0.5</v>
      </c>
      <c r="G644" s="431">
        <v>1200</v>
      </c>
      <c r="H644" s="431">
        <v>10000</v>
      </c>
      <c r="I644" s="431" t="s">
        <v>777</v>
      </c>
      <c r="J644" s="432" t="s">
        <v>252</v>
      </c>
      <c r="K644" s="432">
        <v>-30</v>
      </c>
      <c r="L644" s="432">
        <v>275</v>
      </c>
      <c r="M644" s="436" t="s">
        <v>577</v>
      </c>
      <c r="N644" s="436">
        <v>70</v>
      </c>
      <c r="O644" s="431" t="s">
        <v>168</v>
      </c>
      <c r="P644" s="431" t="s">
        <v>168</v>
      </c>
      <c r="Q644" s="430">
        <f>C644*((100-Discounts!$B$46)/100)</f>
        <v>30.4</v>
      </c>
      <c r="R644" t="str">
        <f>IF(ISNUMBER(Table3[[#This Row],[Thickness]]), "Zenith", "")</f>
        <v>Zenith</v>
      </c>
      <c r="S644">
        <v>5</v>
      </c>
      <c r="T644">
        <v>200</v>
      </c>
    </row>
    <row r="645" spans="1:20" x14ac:dyDescent="0.85">
      <c r="A645" s="433" t="s">
        <v>533</v>
      </c>
      <c r="B645" s="429" t="s">
        <v>531</v>
      </c>
      <c r="C645" s="434">
        <v>115</v>
      </c>
      <c r="D645" s="434"/>
      <c r="E645" s="430" t="s">
        <v>757</v>
      </c>
      <c r="F645" s="435">
        <v>1</v>
      </c>
      <c r="G645" s="435">
        <v>1200</v>
      </c>
      <c r="H645" s="435">
        <v>10000</v>
      </c>
      <c r="I645" s="431" t="s">
        <v>777</v>
      </c>
      <c r="J645" s="432" t="s">
        <v>252</v>
      </c>
      <c r="K645" s="432">
        <v>-30</v>
      </c>
      <c r="L645" s="432">
        <v>275</v>
      </c>
      <c r="M645" s="436" t="s">
        <v>577</v>
      </c>
      <c r="N645" s="436">
        <v>70</v>
      </c>
      <c r="O645" s="431" t="s">
        <v>168</v>
      </c>
      <c r="P645" s="431" t="s">
        <v>168</v>
      </c>
      <c r="Q645" s="434">
        <f>C645*((100-Discounts!$B$46)/100)</f>
        <v>43.7</v>
      </c>
      <c r="R645" t="str">
        <f>IF(ISNUMBER(Table3[[#This Row],[Thickness]]), "Zenith", "")</f>
        <v>Zenith</v>
      </c>
      <c r="S645">
        <v>5</v>
      </c>
      <c r="T645">
        <v>200</v>
      </c>
    </row>
    <row r="646" spans="1:20" x14ac:dyDescent="0.85">
      <c r="A646" s="429" t="s">
        <v>534</v>
      </c>
      <c r="B646" s="429" t="s">
        <v>531</v>
      </c>
      <c r="C646" s="430">
        <v>170</v>
      </c>
      <c r="D646" s="430"/>
      <c r="E646" s="430" t="s">
        <v>757</v>
      </c>
      <c r="F646" s="431">
        <v>1.5</v>
      </c>
      <c r="G646" s="431">
        <v>1200</v>
      </c>
      <c r="H646" s="431">
        <v>10000</v>
      </c>
      <c r="I646" s="431" t="s">
        <v>777</v>
      </c>
      <c r="J646" s="432" t="s">
        <v>252</v>
      </c>
      <c r="K646" s="432">
        <v>-30</v>
      </c>
      <c r="L646" s="432">
        <v>275</v>
      </c>
      <c r="M646" s="436" t="s">
        <v>577</v>
      </c>
      <c r="N646" s="436">
        <v>70</v>
      </c>
      <c r="O646" s="431" t="s">
        <v>168</v>
      </c>
      <c r="P646" s="431" t="s">
        <v>168</v>
      </c>
      <c r="Q646" s="430">
        <f>C646*((100-Discounts!$B$46)/100)</f>
        <v>64.599999999999994</v>
      </c>
      <c r="R646" t="str">
        <f>IF(ISNUMBER(Table3[[#This Row],[Thickness]]), "Zenith", "")</f>
        <v>Zenith</v>
      </c>
      <c r="S646">
        <v>5</v>
      </c>
      <c r="T646">
        <v>200</v>
      </c>
    </row>
    <row r="647" spans="1:20" x14ac:dyDescent="0.85">
      <c r="A647" s="433" t="s">
        <v>535</v>
      </c>
      <c r="B647" s="429" t="s">
        <v>531</v>
      </c>
      <c r="C647" s="434">
        <v>220</v>
      </c>
      <c r="D647" s="434"/>
      <c r="E647" s="430" t="s">
        <v>757</v>
      </c>
      <c r="F647" s="435">
        <v>2</v>
      </c>
      <c r="G647" s="435">
        <v>1200</v>
      </c>
      <c r="H647" s="435">
        <v>10000</v>
      </c>
      <c r="I647" s="431" t="s">
        <v>777</v>
      </c>
      <c r="J647" s="432" t="s">
        <v>252</v>
      </c>
      <c r="K647" s="432">
        <v>-30</v>
      </c>
      <c r="L647" s="432">
        <v>275</v>
      </c>
      <c r="M647" s="436" t="s">
        <v>577</v>
      </c>
      <c r="N647" s="436">
        <v>70</v>
      </c>
      <c r="O647" s="431" t="s">
        <v>168</v>
      </c>
      <c r="P647" s="431" t="s">
        <v>168</v>
      </c>
      <c r="Q647" s="434">
        <f>C647*((100-Discounts!$B$46)/100)</f>
        <v>83.6</v>
      </c>
      <c r="R647" t="str">
        <f>IF(ISNUMBER(Table3[[#This Row],[Thickness]]), "Zenith", "")</f>
        <v>Zenith</v>
      </c>
      <c r="S647">
        <v>5</v>
      </c>
      <c r="T647">
        <v>200</v>
      </c>
    </row>
    <row r="648" spans="1:20" x14ac:dyDescent="0.85">
      <c r="A648" s="429" t="s">
        <v>536</v>
      </c>
      <c r="B648" s="429" t="s">
        <v>531</v>
      </c>
      <c r="C648" s="430">
        <v>330</v>
      </c>
      <c r="D648" s="430"/>
      <c r="E648" s="430" t="s">
        <v>757</v>
      </c>
      <c r="F648" s="431">
        <v>3</v>
      </c>
      <c r="G648" s="431">
        <v>1200</v>
      </c>
      <c r="H648" s="431">
        <v>10000</v>
      </c>
      <c r="I648" s="431" t="s">
        <v>777</v>
      </c>
      <c r="J648" s="432" t="s">
        <v>252</v>
      </c>
      <c r="K648" s="432">
        <v>-30</v>
      </c>
      <c r="L648" s="432">
        <v>275</v>
      </c>
      <c r="M648" s="436" t="s">
        <v>577</v>
      </c>
      <c r="N648" s="436">
        <v>70</v>
      </c>
      <c r="O648" s="431" t="s">
        <v>168</v>
      </c>
      <c r="P648" s="431" t="s">
        <v>168</v>
      </c>
      <c r="Q648" s="430">
        <f>C648*((100-Discounts!$B$46)/100)</f>
        <v>125.4</v>
      </c>
      <c r="R648" t="str">
        <f>IF(ISNUMBER(Table3[[#This Row],[Thickness]]), "Zenith", "")</f>
        <v>Zenith</v>
      </c>
      <c r="S648">
        <v>5</v>
      </c>
      <c r="T648">
        <v>200</v>
      </c>
    </row>
    <row r="649" spans="1:20" x14ac:dyDescent="0.85">
      <c r="A649" s="433" t="s">
        <v>537</v>
      </c>
      <c r="B649" s="429" t="s">
        <v>531</v>
      </c>
      <c r="C649" s="434">
        <v>440</v>
      </c>
      <c r="D649" s="434"/>
      <c r="E649" s="430" t="s">
        <v>757</v>
      </c>
      <c r="F649" s="435">
        <v>4</v>
      </c>
      <c r="G649" s="435">
        <v>1200</v>
      </c>
      <c r="H649" s="435">
        <v>10000</v>
      </c>
      <c r="I649" s="431" t="s">
        <v>777</v>
      </c>
      <c r="J649" s="432" t="s">
        <v>252</v>
      </c>
      <c r="K649" s="432">
        <v>-30</v>
      </c>
      <c r="L649" s="432">
        <v>275</v>
      </c>
      <c r="M649" s="436" t="s">
        <v>577</v>
      </c>
      <c r="N649" s="436">
        <v>70</v>
      </c>
      <c r="O649" s="431" t="s">
        <v>168</v>
      </c>
      <c r="P649" s="431" t="s">
        <v>168</v>
      </c>
      <c r="Q649" s="434">
        <f>C649*((100-Discounts!$B$46)/100)</f>
        <v>167.2</v>
      </c>
      <c r="R649" t="str">
        <f>IF(ISNUMBER(Table3[[#This Row],[Thickness]]), "Zenith", "")</f>
        <v>Zenith</v>
      </c>
      <c r="S649">
        <v>5</v>
      </c>
      <c r="T649">
        <v>200</v>
      </c>
    </row>
    <row r="650" spans="1:20" x14ac:dyDescent="0.85">
      <c r="A650" s="429" t="s">
        <v>538</v>
      </c>
      <c r="B650" s="429" t="s">
        <v>531</v>
      </c>
      <c r="C650" s="430">
        <v>550</v>
      </c>
      <c r="D650" s="430"/>
      <c r="E650" s="430" t="s">
        <v>757</v>
      </c>
      <c r="F650" s="431">
        <v>5</v>
      </c>
      <c r="G650" s="431">
        <v>1200</v>
      </c>
      <c r="H650" s="431">
        <v>10000</v>
      </c>
      <c r="I650" s="431" t="s">
        <v>777</v>
      </c>
      <c r="J650" s="432" t="s">
        <v>252</v>
      </c>
      <c r="K650" s="432">
        <v>-30</v>
      </c>
      <c r="L650" s="432">
        <v>275</v>
      </c>
      <c r="M650" s="436" t="s">
        <v>577</v>
      </c>
      <c r="N650" s="436">
        <v>70</v>
      </c>
      <c r="O650" s="431" t="s">
        <v>168</v>
      </c>
      <c r="P650" s="431" t="s">
        <v>168</v>
      </c>
      <c r="Q650" s="430">
        <f>C650*((100-Discounts!$B$46)/100)</f>
        <v>209</v>
      </c>
      <c r="R650" t="str">
        <f>IF(ISNUMBER(Table3[[#This Row],[Thickness]]), "Zenith", "")</f>
        <v>Zenith</v>
      </c>
      <c r="S650">
        <v>5</v>
      </c>
      <c r="T650">
        <v>200</v>
      </c>
    </row>
    <row r="651" spans="1:20" x14ac:dyDescent="0.85">
      <c r="A651" s="433" t="s">
        <v>539</v>
      </c>
      <c r="B651" s="429" t="s">
        <v>531</v>
      </c>
      <c r="C651" s="434">
        <v>660</v>
      </c>
      <c r="D651" s="434"/>
      <c r="E651" s="430" t="s">
        <v>757</v>
      </c>
      <c r="F651" s="435">
        <v>6</v>
      </c>
      <c r="G651" s="435">
        <v>1200</v>
      </c>
      <c r="H651" s="435">
        <v>10000</v>
      </c>
      <c r="I651" s="431" t="s">
        <v>777</v>
      </c>
      <c r="J651" s="432" t="s">
        <v>252</v>
      </c>
      <c r="K651" s="432">
        <v>-30</v>
      </c>
      <c r="L651" s="432">
        <v>275</v>
      </c>
      <c r="M651" s="436" t="s">
        <v>577</v>
      </c>
      <c r="N651" s="436">
        <v>70</v>
      </c>
      <c r="O651" s="431" t="s">
        <v>168</v>
      </c>
      <c r="P651" s="431" t="s">
        <v>168</v>
      </c>
      <c r="Q651" s="434">
        <f>C651*((100-Discounts!$B$46)/100)</f>
        <v>250.8</v>
      </c>
      <c r="R651" t="str">
        <f>IF(ISNUMBER(Table3[[#This Row],[Thickness]]), "Zenith", "")</f>
        <v>Zenith</v>
      </c>
      <c r="S651">
        <v>5</v>
      </c>
      <c r="T651">
        <v>200</v>
      </c>
    </row>
    <row r="652" spans="1:20" x14ac:dyDescent="0.85">
      <c r="A652" s="429" t="s">
        <v>540</v>
      </c>
      <c r="B652" s="429" t="s">
        <v>531</v>
      </c>
      <c r="C652" s="430">
        <v>880</v>
      </c>
      <c r="D652" s="430"/>
      <c r="E652" s="430" t="s">
        <v>757</v>
      </c>
      <c r="F652" s="431">
        <v>8</v>
      </c>
      <c r="G652" s="431">
        <v>1200</v>
      </c>
      <c r="H652" s="431">
        <v>5000</v>
      </c>
      <c r="I652" s="431" t="s">
        <v>777</v>
      </c>
      <c r="J652" s="432" t="s">
        <v>252</v>
      </c>
      <c r="K652" s="432">
        <v>-30</v>
      </c>
      <c r="L652" s="432">
        <v>275</v>
      </c>
      <c r="M652" s="436" t="s">
        <v>577</v>
      </c>
      <c r="N652" s="436">
        <v>70</v>
      </c>
      <c r="O652" s="431" t="s">
        <v>168</v>
      </c>
      <c r="P652" s="431" t="s">
        <v>168</v>
      </c>
      <c r="Q652" s="430">
        <f>C652*((100-Discounts!$B$46)/100)</f>
        <v>334.4</v>
      </c>
      <c r="R652" t="str">
        <f>IF(ISNUMBER(Table3[[#This Row],[Thickness]]), "Zenith", "")</f>
        <v>Zenith</v>
      </c>
      <c r="S652">
        <v>5</v>
      </c>
      <c r="T652">
        <v>200</v>
      </c>
    </row>
    <row r="653" spans="1:20" x14ac:dyDescent="0.85">
      <c r="A653" s="433" t="s">
        <v>541</v>
      </c>
      <c r="B653" s="429" t="s">
        <v>531</v>
      </c>
      <c r="C653" s="434">
        <v>1100</v>
      </c>
      <c r="D653" s="434"/>
      <c r="E653" s="430" t="s">
        <v>757</v>
      </c>
      <c r="F653" s="435">
        <v>10</v>
      </c>
      <c r="G653" s="435">
        <v>1200</v>
      </c>
      <c r="H653" s="435">
        <v>5000</v>
      </c>
      <c r="I653" s="431" t="s">
        <v>777</v>
      </c>
      <c r="J653" s="432" t="s">
        <v>252</v>
      </c>
      <c r="K653" s="432">
        <v>-30</v>
      </c>
      <c r="L653" s="432">
        <v>275</v>
      </c>
      <c r="M653" s="436" t="s">
        <v>577</v>
      </c>
      <c r="N653" s="436">
        <v>70</v>
      </c>
      <c r="O653" s="431" t="s">
        <v>168</v>
      </c>
      <c r="P653" s="431" t="s">
        <v>168</v>
      </c>
      <c r="Q653" s="434">
        <f>C653*((100-Discounts!$B$46)/100)</f>
        <v>418</v>
      </c>
      <c r="R653" t="str">
        <f>IF(ISNUMBER(Table3[[#This Row],[Thickness]]), "Zenith", "")</f>
        <v>Zenith</v>
      </c>
      <c r="S653">
        <v>5</v>
      </c>
      <c r="T653">
        <v>200</v>
      </c>
    </row>
    <row r="654" spans="1:20" x14ac:dyDescent="0.85">
      <c r="A654" s="429" t="s">
        <v>542</v>
      </c>
      <c r="B654" s="429" t="s">
        <v>531</v>
      </c>
      <c r="C654" s="430">
        <v>1320</v>
      </c>
      <c r="D654" s="430"/>
      <c r="E654" s="430" t="s">
        <v>757</v>
      </c>
      <c r="F654" s="431">
        <v>12</v>
      </c>
      <c r="G654" s="431">
        <v>1200</v>
      </c>
      <c r="H654" s="431">
        <v>5000</v>
      </c>
      <c r="I654" s="431" t="s">
        <v>777</v>
      </c>
      <c r="J654" s="432" t="s">
        <v>252</v>
      </c>
      <c r="K654" s="432">
        <v>-30</v>
      </c>
      <c r="L654" s="432">
        <v>275</v>
      </c>
      <c r="M654" s="436" t="s">
        <v>577</v>
      </c>
      <c r="N654" s="436">
        <v>70</v>
      </c>
      <c r="O654" s="431" t="s">
        <v>168</v>
      </c>
      <c r="P654" s="431" t="s">
        <v>168</v>
      </c>
      <c r="Q654" s="430">
        <f>C654*((100-Discounts!$B$46)/100)</f>
        <v>501.6</v>
      </c>
      <c r="R654" t="str">
        <f>IF(ISNUMBER(Table3[[#This Row],[Thickness]]), "Zenith", "")</f>
        <v>Zenith</v>
      </c>
      <c r="S654">
        <v>5</v>
      </c>
      <c r="T654">
        <v>200</v>
      </c>
    </row>
    <row r="655" spans="1:20" ht="27" thickBot="1" x14ac:dyDescent="0.9">
      <c r="A655" s="145"/>
      <c r="B655" s="145"/>
      <c r="C655" s="397"/>
      <c r="D655" s="397"/>
      <c r="E655" s="397"/>
      <c r="F655" s="398" t="s">
        <v>543</v>
      </c>
      <c r="G655" s="398">
        <v>0</v>
      </c>
      <c r="H655" s="335">
        <v>0</v>
      </c>
      <c r="I655" s="217" t="s">
        <v>777</v>
      </c>
      <c r="M655" s="353"/>
      <c r="N655" s="349"/>
      <c r="O655" s="217" t="s">
        <v>168</v>
      </c>
      <c r="P655" s="385" t="s">
        <v>168</v>
      </c>
      <c r="Q655" s="397"/>
      <c r="R655" t="str">
        <f>IF(ISNUMBER(Table3[[#This Row],[Thickness]]), "Zenith", "")</f>
        <v/>
      </c>
    </row>
    <row r="656" spans="1:20" ht="27.5" thickTop="1" thickBot="1" x14ac:dyDescent="0.9">
      <c r="A656" s="146"/>
      <c r="B656" s="306"/>
      <c r="C656" s="276"/>
      <c r="D656" s="276"/>
      <c r="E656" s="276"/>
      <c r="F656" s="274" t="s">
        <v>230</v>
      </c>
      <c r="G656" s="274">
        <v>0</v>
      </c>
      <c r="H656" s="275">
        <v>0</v>
      </c>
      <c r="I656" s="217" t="s">
        <v>777</v>
      </c>
      <c r="M656" s="231"/>
      <c r="N656" s="233"/>
      <c r="O656" s="265" t="s">
        <v>168</v>
      </c>
      <c r="P656" s="235" t="s">
        <v>168</v>
      </c>
      <c r="Q656" s="277" t="s">
        <v>323</v>
      </c>
      <c r="R656" t="str">
        <f>IF(ISNUMBER(Table3[[#This Row],[Thickness]]), "Zenith", "")</f>
        <v/>
      </c>
    </row>
    <row r="657" spans="1:20" ht="54" thickTop="1" thickBot="1" x14ac:dyDescent="0.9">
      <c r="A657" s="147" t="s">
        <v>322</v>
      </c>
      <c r="B657" s="307"/>
      <c r="C657" s="280" t="s">
        <v>179</v>
      </c>
      <c r="D657" s="316"/>
      <c r="E657" s="316"/>
      <c r="F657" s="278" t="s">
        <v>320</v>
      </c>
      <c r="G657" s="278" t="e">
        <v>#VALUE!</v>
      </c>
      <c r="H657" s="279" t="e">
        <v>#VALUE!</v>
      </c>
      <c r="I657" s="217" t="s">
        <v>777</v>
      </c>
      <c r="M657" s="234"/>
      <c r="N657" s="230"/>
      <c r="O657" s="235" t="s">
        <v>168</v>
      </c>
      <c r="P657" s="235" t="s">
        <v>168</v>
      </c>
      <c r="Q657" s="280" t="s">
        <v>199</v>
      </c>
      <c r="R657" t="str">
        <f>IF(ISNUMBER(Table3[[#This Row],[Thickness]]), "Zenith", "")</f>
        <v/>
      </c>
    </row>
    <row r="658" spans="1:20" ht="27" thickTop="1" x14ac:dyDescent="0.85">
      <c r="A658" s="429" t="s">
        <v>544</v>
      </c>
      <c r="B658" s="429" t="s">
        <v>230</v>
      </c>
      <c r="C658" s="430">
        <v>40</v>
      </c>
      <c r="D658" s="430"/>
      <c r="E658" s="430" t="s">
        <v>757</v>
      </c>
      <c r="F658" s="431">
        <v>2</v>
      </c>
      <c r="G658" s="431">
        <v>1400</v>
      </c>
      <c r="H658" s="431">
        <v>10000</v>
      </c>
      <c r="I658" s="431" t="s">
        <v>777</v>
      </c>
      <c r="J658" s="432" t="s">
        <v>792</v>
      </c>
      <c r="K658" s="432">
        <v>-30</v>
      </c>
      <c r="L658" s="432">
        <v>110</v>
      </c>
      <c r="M658" s="436" t="s">
        <v>635</v>
      </c>
      <c r="N658" s="436">
        <v>65</v>
      </c>
      <c r="O658" s="431" t="s">
        <v>168</v>
      </c>
      <c r="P658" s="431" t="s">
        <v>168</v>
      </c>
      <c r="Q658" s="430">
        <f>C658*((100-Discounts!$B$48)/100)</f>
        <v>18</v>
      </c>
      <c r="R658" t="str">
        <f>IF(ISNUMBER(Table3[[#This Row],[Thickness]]), "Zenith", "")</f>
        <v>Zenith</v>
      </c>
      <c r="S658">
        <v>6.5</v>
      </c>
      <c r="T658">
        <v>320</v>
      </c>
    </row>
    <row r="659" spans="1:20" x14ac:dyDescent="0.85">
      <c r="A659" s="433" t="s">
        <v>545</v>
      </c>
      <c r="B659" s="429" t="s">
        <v>230</v>
      </c>
      <c r="C659" s="434">
        <v>59.25</v>
      </c>
      <c r="D659" s="434"/>
      <c r="E659" s="430" t="s">
        <v>757</v>
      </c>
      <c r="F659" s="435">
        <v>3</v>
      </c>
      <c r="G659" s="435">
        <v>1400</v>
      </c>
      <c r="H659" s="435">
        <v>10000</v>
      </c>
      <c r="I659" s="431" t="s">
        <v>777</v>
      </c>
      <c r="J659" s="432" t="s">
        <v>792</v>
      </c>
      <c r="K659" s="432">
        <v>-30</v>
      </c>
      <c r="L659" s="432">
        <v>110</v>
      </c>
      <c r="M659" s="436" t="s">
        <v>635</v>
      </c>
      <c r="N659" s="436">
        <v>65</v>
      </c>
      <c r="O659" s="431" t="s">
        <v>168</v>
      </c>
      <c r="P659" s="431" t="s">
        <v>168</v>
      </c>
      <c r="Q659" s="434">
        <f>C659*((100-Discounts!$B$48)/100)</f>
        <v>26.662500000000001</v>
      </c>
      <c r="R659" t="str">
        <f>IF(ISNUMBER(Table3[[#This Row],[Thickness]]), "Zenith", "")</f>
        <v>Zenith</v>
      </c>
      <c r="S659">
        <v>6.5</v>
      </c>
      <c r="T659">
        <v>320</v>
      </c>
    </row>
    <row r="660" spans="1:20" x14ac:dyDescent="0.85">
      <c r="A660" s="429" t="s">
        <v>546</v>
      </c>
      <c r="B660" s="429" t="s">
        <v>230</v>
      </c>
      <c r="C660" s="430">
        <v>79</v>
      </c>
      <c r="D660" s="430"/>
      <c r="E660" s="430" t="s">
        <v>757</v>
      </c>
      <c r="F660" s="431">
        <v>4</v>
      </c>
      <c r="G660" s="431">
        <v>1400</v>
      </c>
      <c r="H660" s="431">
        <v>10000</v>
      </c>
      <c r="I660" s="431" t="s">
        <v>777</v>
      </c>
      <c r="J660" s="432" t="s">
        <v>792</v>
      </c>
      <c r="K660" s="432">
        <v>-30</v>
      </c>
      <c r="L660" s="432">
        <v>110</v>
      </c>
      <c r="M660" s="436" t="s">
        <v>635</v>
      </c>
      <c r="N660" s="436">
        <v>65</v>
      </c>
      <c r="O660" s="431" t="s">
        <v>168</v>
      </c>
      <c r="P660" s="431" t="s">
        <v>168</v>
      </c>
      <c r="Q660" s="430">
        <f>C660*((100-Discounts!$B$48)/100)</f>
        <v>35.550000000000004</v>
      </c>
      <c r="R660" t="str">
        <f>IF(ISNUMBER(Table3[[#This Row],[Thickness]]), "Zenith", "")</f>
        <v>Zenith</v>
      </c>
      <c r="S660">
        <v>6.5</v>
      </c>
      <c r="T660">
        <v>320</v>
      </c>
    </row>
    <row r="661" spans="1:20" x14ac:dyDescent="0.85">
      <c r="A661" s="433" t="s">
        <v>547</v>
      </c>
      <c r="B661" s="429" t="s">
        <v>230</v>
      </c>
      <c r="C661" s="434">
        <v>98</v>
      </c>
      <c r="D661" s="434"/>
      <c r="E661" s="430" t="s">
        <v>757</v>
      </c>
      <c r="F661" s="435">
        <v>5</v>
      </c>
      <c r="G661" s="435">
        <v>1400</v>
      </c>
      <c r="H661" s="435">
        <v>10000</v>
      </c>
      <c r="I661" s="431" t="s">
        <v>777</v>
      </c>
      <c r="J661" s="432" t="s">
        <v>792</v>
      </c>
      <c r="K661" s="432">
        <v>-30</v>
      </c>
      <c r="L661" s="432">
        <v>110</v>
      </c>
      <c r="M661" s="436" t="s">
        <v>635</v>
      </c>
      <c r="N661" s="436">
        <v>65</v>
      </c>
      <c r="O661" s="431" t="s">
        <v>168</v>
      </c>
      <c r="P661" s="431" t="s">
        <v>168</v>
      </c>
      <c r="Q661" s="434">
        <f>C661*((100-Discounts!$B$48)/100)</f>
        <v>44.1</v>
      </c>
      <c r="R661" t="str">
        <f>IF(ISNUMBER(Table3[[#This Row],[Thickness]]), "Zenith", "")</f>
        <v>Zenith</v>
      </c>
      <c r="S661">
        <v>6.5</v>
      </c>
      <c r="T661">
        <v>320</v>
      </c>
    </row>
    <row r="662" spans="1:20" x14ac:dyDescent="0.85">
      <c r="A662" s="429" t="s">
        <v>548</v>
      </c>
      <c r="B662" s="429" t="s">
        <v>230</v>
      </c>
      <c r="C662" s="430">
        <v>117.5</v>
      </c>
      <c r="D662" s="430"/>
      <c r="E662" s="430" t="s">
        <v>757</v>
      </c>
      <c r="F662" s="431">
        <v>6</v>
      </c>
      <c r="G662" s="431">
        <v>1400</v>
      </c>
      <c r="H662" s="431">
        <v>10000</v>
      </c>
      <c r="I662" s="431" t="s">
        <v>777</v>
      </c>
      <c r="J662" s="432" t="s">
        <v>792</v>
      </c>
      <c r="K662" s="432">
        <v>-30</v>
      </c>
      <c r="L662" s="432">
        <v>110</v>
      </c>
      <c r="M662" s="436" t="s">
        <v>635</v>
      </c>
      <c r="N662" s="436">
        <v>65</v>
      </c>
      <c r="O662" s="431" t="s">
        <v>168</v>
      </c>
      <c r="P662" s="431" t="s">
        <v>168</v>
      </c>
      <c r="Q662" s="430">
        <f>C662*((100-Discounts!$B$48)/100)</f>
        <v>52.875</v>
      </c>
      <c r="R662" t="str">
        <f>IF(ISNUMBER(Table3[[#This Row],[Thickness]]), "Zenith", "")</f>
        <v>Zenith</v>
      </c>
      <c r="S662">
        <v>6.5</v>
      </c>
      <c r="T662">
        <v>320</v>
      </c>
    </row>
    <row r="663" spans="1:20" x14ac:dyDescent="0.85">
      <c r="A663" s="433" t="s">
        <v>549</v>
      </c>
      <c r="B663" s="429" t="s">
        <v>230</v>
      </c>
      <c r="C663" s="434">
        <v>194.25</v>
      </c>
      <c r="D663" s="434"/>
      <c r="E663" s="430" t="s">
        <v>757</v>
      </c>
      <c r="F663" s="435">
        <v>10</v>
      </c>
      <c r="G663" s="435">
        <v>1400</v>
      </c>
      <c r="H663" s="435">
        <v>5000</v>
      </c>
      <c r="I663" s="431" t="s">
        <v>777</v>
      </c>
      <c r="J663" s="432" t="s">
        <v>792</v>
      </c>
      <c r="K663" s="432">
        <v>-30</v>
      </c>
      <c r="L663" s="432">
        <v>110</v>
      </c>
      <c r="M663" s="436" t="s">
        <v>635</v>
      </c>
      <c r="N663" s="436">
        <v>65</v>
      </c>
      <c r="O663" s="431" t="s">
        <v>168</v>
      </c>
      <c r="P663" s="431" t="s">
        <v>168</v>
      </c>
      <c r="Q663" s="434">
        <f>C663*((100-Discounts!$B$48)/100)</f>
        <v>87.412500000000009</v>
      </c>
      <c r="R663" t="str">
        <f>IF(ISNUMBER(Table3[[#This Row],[Thickness]]), "Zenith", "")</f>
        <v>Zenith</v>
      </c>
      <c r="S663">
        <v>6.5</v>
      </c>
      <c r="T663">
        <v>320</v>
      </c>
    </row>
    <row r="664" spans="1:20" ht="27" thickBot="1" x14ac:dyDescent="0.9">
      <c r="A664" s="399"/>
      <c r="B664" s="400"/>
      <c r="C664" s="401"/>
      <c r="D664" s="401"/>
      <c r="E664" s="401"/>
      <c r="F664" s="402" t="s">
        <v>550</v>
      </c>
      <c r="G664" s="402">
        <v>0</v>
      </c>
      <c r="H664" s="336">
        <v>0</v>
      </c>
      <c r="I664" s="217" t="s">
        <v>777</v>
      </c>
      <c r="M664" s="348"/>
      <c r="N664" s="343"/>
      <c r="O664" s="217" t="s">
        <v>168</v>
      </c>
      <c r="P664" s="385" t="s">
        <v>168</v>
      </c>
      <c r="Q664" s="403" t="s">
        <v>323</v>
      </c>
      <c r="R664" t="str">
        <f>IF(ISNUMBER(Table3[[#This Row],[Thickness]]), "Zenith", "")</f>
        <v/>
      </c>
    </row>
    <row r="665" spans="1:20" ht="54" thickTop="1" thickBot="1" x14ac:dyDescent="0.9">
      <c r="A665" s="147" t="s">
        <v>322</v>
      </c>
      <c r="B665" s="307"/>
      <c r="C665" s="280" t="s">
        <v>179</v>
      </c>
      <c r="D665" s="316"/>
      <c r="E665" s="316"/>
      <c r="F665" s="278" t="s">
        <v>320</v>
      </c>
      <c r="G665" s="278" t="e">
        <v>#VALUE!</v>
      </c>
      <c r="H665" s="279" t="e">
        <v>#VALUE!</v>
      </c>
      <c r="I665" s="217" t="s">
        <v>777</v>
      </c>
      <c r="M665" s="234"/>
      <c r="N665" s="230"/>
      <c r="O665" s="235" t="s">
        <v>168</v>
      </c>
      <c r="P665" s="235" t="s">
        <v>168</v>
      </c>
      <c r="Q665" s="280" t="s">
        <v>199</v>
      </c>
      <c r="R665" t="str">
        <f>IF(ISNUMBER(Table3[[#This Row],[Thickness]]), "Zenith", "")</f>
        <v/>
      </c>
    </row>
    <row r="666" spans="1:20" ht="27" thickTop="1" x14ac:dyDescent="0.85">
      <c r="A666" s="429" t="s">
        <v>551</v>
      </c>
      <c r="B666" s="429" t="s">
        <v>550</v>
      </c>
      <c r="C666" s="430">
        <v>65.5</v>
      </c>
      <c r="D666" s="430"/>
      <c r="E666" s="430" t="s">
        <v>757</v>
      </c>
      <c r="F666" s="431">
        <v>2</v>
      </c>
      <c r="G666" s="431">
        <v>1400</v>
      </c>
      <c r="H666" s="431">
        <v>10000</v>
      </c>
      <c r="I666" s="431" t="s">
        <v>777</v>
      </c>
      <c r="J666" s="432" t="s">
        <v>793</v>
      </c>
      <c r="K666" s="432">
        <v>-30</v>
      </c>
      <c r="L666" s="432">
        <v>130</v>
      </c>
      <c r="M666" s="436" t="s">
        <v>577</v>
      </c>
      <c r="N666" s="436">
        <v>65</v>
      </c>
      <c r="O666" s="431" t="s">
        <v>168</v>
      </c>
      <c r="P666" s="431" t="s">
        <v>168</v>
      </c>
      <c r="Q666" s="430">
        <f>C666*((100-Discounts!$B$49)/100)</f>
        <v>29.475000000000001</v>
      </c>
      <c r="R666" t="str">
        <f>IF(ISNUMBER(Table3[[#This Row],[Thickness]]), "Zenith", "")</f>
        <v>Zenith</v>
      </c>
      <c r="S666">
        <v>10</v>
      </c>
      <c r="T666">
        <v>350</v>
      </c>
    </row>
    <row r="667" spans="1:20" x14ac:dyDescent="0.85">
      <c r="A667" s="433" t="s">
        <v>552</v>
      </c>
      <c r="B667" s="429" t="s">
        <v>550</v>
      </c>
      <c r="C667" s="434">
        <v>94</v>
      </c>
      <c r="D667" s="434"/>
      <c r="E667" s="430" t="s">
        <v>757</v>
      </c>
      <c r="F667" s="435">
        <v>3</v>
      </c>
      <c r="G667" s="435">
        <v>1400</v>
      </c>
      <c r="H667" s="435">
        <v>10000</v>
      </c>
      <c r="I667" s="431" t="s">
        <v>777</v>
      </c>
      <c r="J667" s="432" t="s">
        <v>793</v>
      </c>
      <c r="K667" s="432">
        <v>-30</v>
      </c>
      <c r="L667" s="432">
        <v>130</v>
      </c>
      <c r="M667" s="436" t="s">
        <v>577</v>
      </c>
      <c r="N667" s="436">
        <v>65</v>
      </c>
      <c r="O667" s="431" t="s">
        <v>168</v>
      </c>
      <c r="P667" s="431" t="s">
        <v>168</v>
      </c>
      <c r="Q667" s="434">
        <f>C667*((100-Discounts!$B$49)/100)</f>
        <v>42.300000000000004</v>
      </c>
      <c r="R667" t="str">
        <f>IF(ISNUMBER(Table3[[#This Row],[Thickness]]), "Zenith", "")</f>
        <v>Zenith</v>
      </c>
      <c r="S667">
        <v>10</v>
      </c>
      <c r="T667">
        <v>350</v>
      </c>
    </row>
    <row r="668" spans="1:20" x14ac:dyDescent="0.85">
      <c r="A668" s="429" t="s">
        <v>553</v>
      </c>
      <c r="B668" s="429" t="s">
        <v>550</v>
      </c>
      <c r="C668" s="430">
        <v>125.25</v>
      </c>
      <c r="D668" s="430"/>
      <c r="E668" s="430" t="s">
        <v>757</v>
      </c>
      <c r="F668" s="431">
        <v>4</v>
      </c>
      <c r="G668" s="431">
        <v>1400</v>
      </c>
      <c r="H668" s="431">
        <v>10000</v>
      </c>
      <c r="I668" s="431" t="s">
        <v>777</v>
      </c>
      <c r="J668" s="432" t="s">
        <v>793</v>
      </c>
      <c r="K668" s="432">
        <v>-30</v>
      </c>
      <c r="L668" s="432">
        <v>130</v>
      </c>
      <c r="M668" s="436" t="s">
        <v>577</v>
      </c>
      <c r="N668" s="436">
        <v>65</v>
      </c>
      <c r="O668" s="431" t="s">
        <v>168</v>
      </c>
      <c r="P668" s="431" t="s">
        <v>168</v>
      </c>
      <c r="Q668" s="430">
        <f>C668*((100-Discounts!$B$49)/100)</f>
        <v>56.362500000000004</v>
      </c>
      <c r="R668" t="str">
        <f>IF(ISNUMBER(Table3[[#This Row],[Thickness]]), "Zenith", "")</f>
        <v>Zenith</v>
      </c>
      <c r="S668">
        <v>10</v>
      </c>
      <c r="T668">
        <v>350</v>
      </c>
    </row>
    <row r="669" spans="1:20" x14ac:dyDescent="0.85">
      <c r="A669" s="433" t="s">
        <v>554</v>
      </c>
      <c r="B669" s="429" t="s">
        <v>550</v>
      </c>
      <c r="C669" s="434">
        <v>155</v>
      </c>
      <c r="D669" s="434"/>
      <c r="E669" s="430" t="s">
        <v>757</v>
      </c>
      <c r="F669" s="435">
        <v>5</v>
      </c>
      <c r="G669" s="435">
        <v>1400</v>
      </c>
      <c r="H669" s="435">
        <v>10000</v>
      </c>
      <c r="I669" s="431" t="s">
        <v>777</v>
      </c>
      <c r="J669" s="432" t="s">
        <v>793</v>
      </c>
      <c r="K669" s="432">
        <v>-30</v>
      </c>
      <c r="L669" s="432">
        <v>130</v>
      </c>
      <c r="M669" s="436" t="s">
        <v>577</v>
      </c>
      <c r="N669" s="436">
        <v>65</v>
      </c>
      <c r="O669" s="431" t="s">
        <v>168</v>
      </c>
      <c r="P669" s="431" t="s">
        <v>168</v>
      </c>
      <c r="Q669" s="434">
        <f>C669*((100-Discounts!$B$49)/100)</f>
        <v>69.75</v>
      </c>
      <c r="R669" t="str">
        <f>IF(ISNUMBER(Table3[[#This Row],[Thickness]]), "Zenith", "")</f>
        <v>Zenith</v>
      </c>
      <c r="S669">
        <v>10</v>
      </c>
      <c r="T669">
        <v>350</v>
      </c>
    </row>
    <row r="670" spans="1:20" x14ac:dyDescent="0.85">
      <c r="A670" s="429" t="s">
        <v>555</v>
      </c>
      <c r="B670" s="429" t="s">
        <v>550</v>
      </c>
      <c r="C670" s="430">
        <v>183.75</v>
      </c>
      <c r="D670" s="430"/>
      <c r="E670" s="430" t="s">
        <v>757</v>
      </c>
      <c r="F670" s="431">
        <v>6</v>
      </c>
      <c r="G670" s="431">
        <v>1400</v>
      </c>
      <c r="H670" s="431">
        <v>10000</v>
      </c>
      <c r="I670" s="431" t="s">
        <v>777</v>
      </c>
      <c r="J670" s="432" t="s">
        <v>793</v>
      </c>
      <c r="K670" s="432">
        <v>-30</v>
      </c>
      <c r="L670" s="432">
        <v>130</v>
      </c>
      <c r="M670" s="436" t="s">
        <v>577</v>
      </c>
      <c r="N670" s="436">
        <v>65</v>
      </c>
      <c r="O670" s="431" t="s">
        <v>168</v>
      </c>
      <c r="P670" s="431" t="s">
        <v>168</v>
      </c>
      <c r="Q670" s="430">
        <f>C670*((100-Discounts!$B$49)/100)</f>
        <v>82.6875</v>
      </c>
      <c r="R670" t="str">
        <f>IF(ISNUMBER(Table3[[#This Row],[Thickness]]), "Zenith", "")</f>
        <v>Zenith</v>
      </c>
      <c r="S670">
        <v>10</v>
      </c>
      <c r="T670">
        <v>350</v>
      </c>
    </row>
    <row r="671" spans="1:20" ht="27" thickBot="1" x14ac:dyDescent="0.9">
      <c r="A671" s="399"/>
      <c r="B671" s="400"/>
      <c r="C671" s="401"/>
      <c r="D671" s="401"/>
      <c r="E671" s="401"/>
      <c r="F671" s="402" t="s">
        <v>556</v>
      </c>
      <c r="G671" s="402">
        <v>0</v>
      </c>
      <c r="H671" s="336">
        <v>0</v>
      </c>
      <c r="I671" s="217" t="s">
        <v>777</v>
      </c>
      <c r="M671" s="352"/>
      <c r="N671" s="349"/>
      <c r="O671" s="217" t="s">
        <v>168</v>
      </c>
      <c r="P671" s="385" t="s">
        <v>168</v>
      </c>
      <c r="Q671" s="403" t="s">
        <v>323</v>
      </c>
      <c r="R671" t="str">
        <f>IF(ISNUMBER(Table3[[#This Row],[Thickness]]), "Zenith", "")</f>
        <v/>
      </c>
    </row>
    <row r="672" spans="1:20" ht="54" thickTop="1" thickBot="1" x14ac:dyDescent="0.9">
      <c r="A672" s="147" t="s">
        <v>322</v>
      </c>
      <c r="B672" s="307"/>
      <c r="C672" s="280" t="s">
        <v>179</v>
      </c>
      <c r="D672" s="316"/>
      <c r="E672" s="316"/>
      <c r="F672" s="278" t="s">
        <v>320</v>
      </c>
      <c r="G672" s="278" t="e">
        <v>#VALUE!</v>
      </c>
      <c r="H672" s="279" t="e">
        <v>#VALUE!</v>
      </c>
      <c r="I672" s="217" t="s">
        <v>777</v>
      </c>
      <c r="M672" s="231"/>
      <c r="N672" s="233"/>
      <c r="O672" s="235" t="s">
        <v>168</v>
      </c>
      <c r="P672" s="235" t="s">
        <v>168</v>
      </c>
      <c r="Q672" s="280" t="s">
        <v>199</v>
      </c>
      <c r="R672" t="str">
        <f>IF(ISNUMBER(Table3[[#This Row],[Thickness]]), "Zenith", "")</f>
        <v/>
      </c>
    </row>
    <row r="673" spans="1:20" ht="27" thickTop="1" x14ac:dyDescent="0.85">
      <c r="A673" s="429" t="s">
        <v>557</v>
      </c>
      <c r="B673" s="429" t="s">
        <v>556</v>
      </c>
      <c r="C673" s="430">
        <v>47.75</v>
      </c>
      <c r="D673" s="430"/>
      <c r="E673" s="430" t="s">
        <v>757</v>
      </c>
      <c r="F673" s="431">
        <v>2</v>
      </c>
      <c r="G673" s="431">
        <v>1400</v>
      </c>
      <c r="H673" s="431">
        <v>10000</v>
      </c>
      <c r="I673" s="431" t="s">
        <v>777</v>
      </c>
      <c r="J673" s="432" t="s">
        <v>794</v>
      </c>
      <c r="K673" s="432">
        <v>-45</v>
      </c>
      <c r="L673" s="432">
        <v>120</v>
      </c>
      <c r="M673" s="436" t="s">
        <v>577</v>
      </c>
      <c r="N673" s="436">
        <v>60</v>
      </c>
      <c r="O673" s="431" t="s">
        <v>168</v>
      </c>
      <c r="P673" s="431" t="s">
        <v>168</v>
      </c>
      <c r="Q673" s="430">
        <f>C673*((100-Discounts!$B$50)/100)</f>
        <v>21.487500000000001</v>
      </c>
      <c r="R673" t="str">
        <f>IF(ISNUMBER(Table3[[#This Row],[Thickness]]), "Zenith", "")</f>
        <v>Zenith</v>
      </c>
      <c r="S673">
        <v>9</v>
      </c>
      <c r="T673">
        <v>350</v>
      </c>
    </row>
    <row r="674" spans="1:20" x14ac:dyDescent="0.85">
      <c r="A674" s="433" t="s">
        <v>558</v>
      </c>
      <c r="B674" s="429" t="s">
        <v>556</v>
      </c>
      <c r="C674" s="434">
        <v>70.5</v>
      </c>
      <c r="D674" s="434"/>
      <c r="E674" s="430" t="s">
        <v>757</v>
      </c>
      <c r="F674" s="435">
        <v>3</v>
      </c>
      <c r="G674" s="435">
        <v>1400</v>
      </c>
      <c r="H674" s="435">
        <v>10000</v>
      </c>
      <c r="I674" s="431" t="s">
        <v>777</v>
      </c>
      <c r="J674" s="432" t="s">
        <v>794</v>
      </c>
      <c r="K674" s="432">
        <v>-45</v>
      </c>
      <c r="L674" s="432">
        <v>120</v>
      </c>
      <c r="M674" s="436" t="s">
        <v>577</v>
      </c>
      <c r="N674" s="436">
        <v>60</v>
      </c>
      <c r="O674" s="431" t="s">
        <v>168</v>
      </c>
      <c r="P674" s="431" t="s">
        <v>168</v>
      </c>
      <c r="Q674" s="434">
        <f>C674*((100-Discounts!$B$50)/100)</f>
        <v>31.725000000000001</v>
      </c>
      <c r="R674" t="str">
        <f>IF(ISNUMBER(Table3[[#This Row],[Thickness]]), "Zenith", "")</f>
        <v>Zenith</v>
      </c>
      <c r="S674">
        <v>9</v>
      </c>
      <c r="T674">
        <v>350</v>
      </c>
    </row>
    <row r="675" spans="1:20" x14ac:dyDescent="0.85">
      <c r="A675" s="429" t="s">
        <v>559</v>
      </c>
      <c r="B675" s="429" t="s">
        <v>556</v>
      </c>
      <c r="C675" s="430">
        <v>94</v>
      </c>
      <c r="D675" s="430"/>
      <c r="E675" s="430" t="s">
        <v>757</v>
      </c>
      <c r="F675" s="431">
        <v>4</v>
      </c>
      <c r="G675" s="431">
        <v>1400</v>
      </c>
      <c r="H675" s="431">
        <v>10000</v>
      </c>
      <c r="I675" s="431" t="s">
        <v>777</v>
      </c>
      <c r="J675" s="432" t="s">
        <v>794</v>
      </c>
      <c r="K675" s="432">
        <v>-45</v>
      </c>
      <c r="L675" s="432">
        <v>120</v>
      </c>
      <c r="M675" s="436" t="s">
        <v>577</v>
      </c>
      <c r="N675" s="436">
        <v>60</v>
      </c>
      <c r="O675" s="431" t="s">
        <v>168</v>
      </c>
      <c r="P675" s="431" t="s">
        <v>168</v>
      </c>
      <c r="Q675" s="430">
        <f>C675*((100-Discounts!$B$50)/100)</f>
        <v>42.300000000000004</v>
      </c>
      <c r="R675" t="str">
        <f>IF(ISNUMBER(Table3[[#This Row],[Thickness]]), "Zenith", "")</f>
        <v>Zenith</v>
      </c>
      <c r="S675">
        <v>9</v>
      </c>
      <c r="T675">
        <v>350</v>
      </c>
    </row>
    <row r="676" spans="1:20" x14ac:dyDescent="0.85">
      <c r="A676" s="433" t="s">
        <v>560</v>
      </c>
      <c r="B676" s="429" t="s">
        <v>556</v>
      </c>
      <c r="C676" s="434">
        <v>116.75</v>
      </c>
      <c r="D676" s="434"/>
      <c r="E676" s="430" t="s">
        <v>757</v>
      </c>
      <c r="F676" s="435">
        <v>5</v>
      </c>
      <c r="G676" s="435">
        <v>1400</v>
      </c>
      <c r="H676" s="435">
        <v>10000</v>
      </c>
      <c r="I676" s="431" t="s">
        <v>777</v>
      </c>
      <c r="J676" s="432" t="s">
        <v>794</v>
      </c>
      <c r="K676" s="432">
        <v>-45</v>
      </c>
      <c r="L676" s="432">
        <v>120</v>
      </c>
      <c r="M676" s="436" t="s">
        <v>577</v>
      </c>
      <c r="N676" s="436">
        <v>60</v>
      </c>
      <c r="O676" s="431" t="s">
        <v>168</v>
      </c>
      <c r="P676" s="431" t="s">
        <v>168</v>
      </c>
      <c r="Q676" s="434">
        <f>C676*((100-Discounts!$B$50)/100)</f>
        <v>52.537500000000001</v>
      </c>
      <c r="R676" t="str">
        <f>IF(ISNUMBER(Table3[[#This Row],[Thickness]]), "Zenith", "")</f>
        <v>Zenith</v>
      </c>
      <c r="S676">
        <v>9</v>
      </c>
      <c r="T676">
        <v>350</v>
      </c>
    </row>
    <row r="677" spans="1:20" ht="27" thickBot="1" x14ac:dyDescent="0.9">
      <c r="A677" s="404"/>
      <c r="B677" s="405"/>
      <c r="C677" s="406"/>
      <c r="D677" s="406"/>
      <c r="E677" s="406"/>
      <c r="F677" s="407" t="s">
        <v>561</v>
      </c>
      <c r="G677" s="407">
        <v>0</v>
      </c>
      <c r="H677" s="337">
        <v>0</v>
      </c>
      <c r="I677" s="337"/>
      <c r="M677" s="408"/>
      <c r="N677" s="349"/>
      <c r="O677" s="409"/>
      <c r="P677" s="409"/>
      <c r="Q677" s="406"/>
      <c r="R677" t="str">
        <f>IF(ISNUMBER(Table3[[#This Row],[Thickness]]), "Zenith", "")</f>
        <v/>
      </c>
    </row>
    <row r="678" spans="1:20" ht="27.5" thickTop="1" thickBot="1" x14ac:dyDescent="0.9">
      <c r="A678" s="155"/>
      <c r="B678" s="308"/>
      <c r="C678" s="283" t="s">
        <v>597</v>
      </c>
      <c r="D678" s="317"/>
      <c r="E678" s="317"/>
      <c r="F678" s="281" t="s">
        <v>2</v>
      </c>
      <c r="G678" s="281">
        <v>0</v>
      </c>
      <c r="H678" s="282">
        <v>0</v>
      </c>
      <c r="I678" s="338"/>
      <c r="M678" s="284"/>
      <c r="N678" s="233"/>
      <c r="O678" s="282"/>
      <c r="P678" s="282"/>
      <c r="Q678" s="283" t="s">
        <v>323</v>
      </c>
      <c r="R678" t="str">
        <f>IF(ISNUMBER(Table3[[#This Row],[Thickness]]), "Zenith", "")</f>
        <v/>
      </c>
    </row>
    <row r="679" spans="1:20" ht="54" thickTop="1" thickBot="1" x14ac:dyDescent="0.9">
      <c r="A679" s="156" t="s">
        <v>322</v>
      </c>
      <c r="B679" s="309"/>
      <c r="C679" s="287" t="s">
        <v>179</v>
      </c>
      <c r="D679" s="318"/>
      <c r="E679" s="318"/>
      <c r="F679" s="285" t="s">
        <v>320</v>
      </c>
      <c r="G679" s="285" t="e">
        <v>#VALUE!</v>
      </c>
      <c r="H679" s="286" t="e">
        <v>#VALUE!</v>
      </c>
      <c r="I679" s="339"/>
      <c r="M679" s="288"/>
      <c r="N679" s="230"/>
      <c r="O679" s="286" t="s">
        <v>171</v>
      </c>
      <c r="P679" s="286" t="s">
        <v>325</v>
      </c>
      <c r="Q679" s="287" t="s">
        <v>199</v>
      </c>
      <c r="R679" t="str">
        <f>IF(ISNUMBER(Table3[[#This Row],[Thickness]]), "Zenith", "")</f>
        <v/>
      </c>
    </row>
    <row r="680" spans="1:20" ht="27" thickTop="1" x14ac:dyDescent="0.85">
      <c r="A680" s="429" t="s">
        <v>562</v>
      </c>
      <c r="B680" s="429" t="s">
        <v>2</v>
      </c>
      <c r="C680" s="430">
        <v>18</v>
      </c>
      <c r="D680" s="430"/>
      <c r="E680" s="430" t="s">
        <v>757</v>
      </c>
      <c r="F680" s="431">
        <v>3</v>
      </c>
      <c r="G680" s="431">
        <v>1600</v>
      </c>
      <c r="H680" s="431">
        <v>10000</v>
      </c>
      <c r="I680" s="431" t="s">
        <v>778</v>
      </c>
      <c r="J680" s="432" t="s">
        <v>0</v>
      </c>
      <c r="K680" s="432">
        <v>-30</v>
      </c>
      <c r="L680" s="432">
        <v>70</v>
      </c>
      <c r="M680" s="436" t="s">
        <v>577</v>
      </c>
      <c r="N680" s="436">
        <v>70</v>
      </c>
      <c r="O680" s="431" t="s">
        <v>168</v>
      </c>
      <c r="P680" s="431" t="s">
        <v>168</v>
      </c>
      <c r="Q680" s="430">
        <f>C680*((100-Discounts!$B$52)/100)</f>
        <v>8.1</v>
      </c>
      <c r="R680" t="str">
        <f>IF(ISNUMBER(Table3[[#This Row],[Thickness]]), "Zenith", "")</f>
        <v>Zenith</v>
      </c>
      <c r="S680">
        <v>3</v>
      </c>
      <c r="T680">
        <v>200</v>
      </c>
    </row>
    <row r="681" spans="1:20" x14ac:dyDescent="0.85">
      <c r="A681" s="433" t="s">
        <v>562</v>
      </c>
      <c r="B681" s="429" t="s">
        <v>2</v>
      </c>
      <c r="C681" s="434">
        <v>18</v>
      </c>
      <c r="D681" s="434"/>
      <c r="E681" s="430" t="s">
        <v>757</v>
      </c>
      <c r="F681" s="435">
        <v>3</v>
      </c>
      <c r="G681" s="435">
        <v>1700</v>
      </c>
      <c r="H681" s="435">
        <v>10000</v>
      </c>
      <c r="I681" s="431" t="s">
        <v>778</v>
      </c>
      <c r="J681" s="432" t="s">
        <v>0</v>
      </c>
      <c r="K681" s="432">
        <v>-30</v>
      </c>
      <c r="L681" s="432">
        <v>70</v>
      </c>
      <c r="M681" s="436" t="s">
        <v>577</v>
      </c>
      <c r="N681" s="436">
        <v>70</v>
      </c>
      <c r="O681" s="435" t="s">
        <v>168</v>
      </c>
      <c r="P681" s="435" t="s">
        <v>168</v>
      </c>
      <c r="Q681" s="434">
        <f>C681*((100-Discounts!$B$52)/100)</f>
        <v>8.1</v>
      </c>
      <c r="R681" t="str">
        <f>IF(ISNUMBER(Table3[[#This Row],[Thickness]]), "Zenith", "")</f>
        <v>Zenith</v>
      </c>
      <c r="S681">
        <v>3</v>
      </c>
      <c r="T681">
        <v>200</v>
      </c>
    </row>
    <row r="682" spans="1:20" x14ac:dyDescent="0.85">
      <c r="A682" s="429" t="s">
        <v>562</v>
      </c>
      <c r="B682" s="429" t="s">
        <v>2</v>
      </c>
      <c r="C682" s="430">
        <v>18</v>
      </c>
      <c r="D682" s="430"/>
      <c r="E682" s="430" t="s">
        <v>757</v>
      </c>
      <c r="F682" s="431">
        <v>3</v>
      </c>
      <c r="G682" s="431">
        <v>1800</v>
      </c>
      <c r="H682" s="431">
        <v>10000</v>
      </c>
      <c r="I682" s="431" t="s">
        <v>778</v>
      </c>
      <c r="J682" s="432" t="s">
        <v>0</v>
      </c>
      <c r="K682" s="432">
        <v>-30</v>
      </c>
      <c r="L682" s="432">
        <v>70</v>
      </c>
      <c r="M682" s="436" t="s">
        <v>577</v>
      </c>
      <c r="N682" s="436">
        <v>70</v>
      </c>
      <c r="O682" s="431" t="s">
        <v>168</v>
      </c>
      <c r="P682" s="431" t="s">
        <v>168</v>
      </c>
      <c r="Q682" s="430">
        <f>C682*((100-Discounts!$B$52)/100)</f>
        <v>8.1</v>
      </c>
      <c r="R682" t="str">
        <f>IF(ISNUMBER(Table3[[#This Row],[Thickness]]), "Zenith", "")</f>
        <v>Zenith</v>
      </c>
      <c r="S682">
        <v>3</v>
      </c>
      <c r="T682">
        <v>200</v>
      </c>
    </row>
    <row r="683" spans="1:20" x14ac:dyDescent="0.85">
      <c r="A683" s="433" t="s">
        <v>562</v>
      </c>
      <c r="B683" s="429" t="s">
        <v>2</v>
      </c>
      <c r="C683" s="434">
        <v>18</v>
      </c>
      <c r="D683" s="434"/>
      <c r="E683" s="430" t="s">
        <v>757</v>
      </c>
      <c r="F683" s="435">
        <v>3</v>
      </c>
      <c r="G683" s="435">
        <v>2000</v>
      </c>
      <c r="H683" s="435">
        <v>10000</v>
      </c>
      <c r="I683" s="431" t="s">
        <v>778</v>
      </c>
      <c r="J683" s="432" t="s">
        <v>0</v>
      </c>
      <c r="K683" s="432">
        <v>-30</v>
      </c>
      <c r="L683" s="432">
        <v>70</v>
      </c>
      <c r="M683" s="436" t="s">
        <v>577</v>
      </c>
      <c r="N683" s="436">
        <v>70</v>
      </c>
      <c r="O683" s="435" t="s">
        <v>168</v>
      </c>
      <c r="P683" s="435" t="s">
        <v>168</v>
      </c>
      <c r="Q683" s="434">
        <f>C683*((100-Discounts!$B$52)/100)</f>
        <v>8.1</v>
      </c>
      <c r="R683" t="str">
        <f>IF(ISNUMBER(Table3[[#This Row],[Thickness]]), "Zenith", "")</f>
        <v>Zenith</v>
      </c>
      <c r="S683">
        <v>3</v>
      </c>
      <c r="T683">
        <v>200</v>
      </c>
    </row>
    <row r="684" spans="1:20" x14ac:dyDescent="0.85">
      <c r="A684" s="429" t="s">
        <v>563</v>
      </c>
      <c r="B684" s="429" t="s">
        <v>2</v>
      </c>
      <c r="C684" s="430">
        <v>34.5</v>
      </c>
      <c r="D684" s="430"/>
      <c r="E684" s="430" t="s">
        <v>757</v>
      </c>
      <c r="F684" s="431">
        <v>4</v>
      </c>
      <c r="G684" s="431">
        <v>2000</v>
      </c>
      <c r="H684" s="431">
        <v>10000</v>
      </c>
      <c r="I684" s="431" t="s">
        <v>778</v>
      </c>
      <c r="J684" s="432" t="s">
        <v>0</v>
      </c>
      <c r="K684" s="432">
        <v>-30</v>
      </c>
      <c r="L684" s="432">
        <v>70</v>
      </c>
      <c r="M684" s="436" t="s">
        <v>577</v>
      </c>
      <c r="N684" s="436">
        <v>70</v>
      </c>
      <c r="O684" s="431">
        <v>2</v>
      </c>
      <c r="P684" s="431" t="s">
        <v>178</v>
      </c>
      <c r="Q684" s="430">
        <f>C684*((100-Discounts!$B$52)/100)</f>
        <v>15.525</v>
      </c>
      <c r="R684" t="str">
        <f>IF(ISNUMBER(Table3[[#This Row],[Thickness]]), "Zenith", "")</f>
        <v>Zenith</v>
      </c>
      <c r="S684">
        <v>3</v>
      </c>
      <c r="T684">
        <v>200</v>
      </c>
    </row>
    <row r="685" spans="1:20" x14ac:dyDescent="0.85">
      <c r="A685" s="433" t="s">
        <v>564</v>
      </c>
      <c r="B685" s="429" t="s">
        <v>2</v>
      </c>
      <c r="C685" s="434">
        <v>29.25</v>
      </c>
      <c r="D685" s="434"/>
      <c r="E685" s="430" t="s">
        <v>757</v>
      </c>
      <c r="F685" s="435">
        <v>5</v>
      </c>
      <c r="G685" s="435">
        <v>2000</v>
      </c>
      <c r="H685" s="435">
        <v>10000</v>
      </c>
      <c r="I685" s="431" t="s">
        <v>778</v>
      </c>
      <c r="J685" s="432" t="s">
        <v>0</v>
      </c>
      <c r="K685" s="432">
        <v>-30</v>
      </c>
      <c r="L685" s="432">
        <v>70</v>
      </c>
      <c r="M685" s="436" t="s">
        <v>577</v>
      </c>
      <c r="N685" s="436">
        <v>70</v>
      </c>
      <c r="O685" s="435" t="s">
        <v>168</v>
      </c>
      <c r="P685" s="435" t="s">
        <v>168</v>
      </c>
      <c r="Q685" s="434">
        <f>C685*((100-Discounts!$B$52)/100)</f>
        <v>13.1625</v>
      </c>
      <c r="R685" t="str">
        <f>IF(ISNUMBER(Table3[[#This Row],[Thickness]]), "Zenith", "")</f>
        <v>Zenith</v>
      </c>
      <c r="S685">
        <v>3</v>
      </c>
      <c r="T685">
        <v>200</v>
      </c>
    </row>
    <row r="686" spans="1:20" x14ac:dyDescent="0.85">
      <c r="A686" s="429" t="s">
        <v>565</v>
      </c>
      <c r="B686" s="429" t="s">
        <v>2</v>
      </c>
      <c r="C686" s="430">
        <v>44</v>
      </c>
      <c r="D686" s="430"/>
      <c r="E686" s="430" t="s">
        <v>757</v>
      </c>
      <c r="F686" s="431">
        <v>6</v>
      </c>
      <c r="G686" s="431">
        <v>1450</v>
      </c>
      <c r="H686" s="431">
        <v>12000</v>
      </c>
      <c r="I686" s="431" t="s">
        <v>778</v>
      </c>
      <c r="J686" s="432" t="s">
        <v>0</v>
      </c>
      <c r="K686" s="432">
        <v>-30</v>
      </c>
      <c r="L686" s="432">
        <v>70</v>
      </c>
      <c r="M686" s="436" t="s">
        <v>577</v>
      </c>
      <c r="N686" s="436">
        <v>70</v>
      </c>
      <c r="O686" s="431">
        <v>2</v>
      </c>
      <c r="P686" s="431" t="s">
        <v>178</v>
      </c>
      <c r="Q686" s="430">
        <f>C686*((100-Discounts!$B$52)/100)</f>
        <v>19.8</v>
      </c>
      <c r="R686" t="str">
        <f>IF(ISNUMBER(Table3[[#This Row],[Thickness]]), "Zenith", "")</f>
        <v>Zenith</v>
      </c>
      <c r="S686">
        <v>3</v>
      </c>
      <c r="T686">
        <v>200</v>
      </c>
    </row>
    <row r="687" spans="1:20" x14ac:dyDescent="0.85">
      <c r="A687" s="433" t="s">
        <v>565</v>
      </c>
      <c r="B687" s="429" t="s">
        <v>2</v>
      </c>
      <c r="C687" s="434">
        <v>44</v>
      </c>
      <c r="D687" s="434"/>
      <c r="E687" s="430" t="s">
        <v>757</v>
      </c>
      <c r="F687" s="435">
        <v>6</v>
      </c>
      <c r="G687" s="435">
        <v>1700</v>
      </c>
      <c r="H687" s="435">
        <v>12000</v>
      </c>
      <c r="I687" s="431" t="s">
        <v>778</v>
      </c>
      <c r="J687" s="432" t="s">
        <v>0</v>
      </c>
      <c r="K687" s="432">
        <v>-30</v>
      </c>
      <c r="L687" s="432">
        <v>70</v>
      </c>
      <c r="M687" s="436" t="s">
        <v>577</v>
      </c>
      <c r="N687" s="436">
        <v>70</v>
      </c>
      <c r="O687" s="435">
        <v>2</v>
      </c>
      <c r="P687" s="435" t="s">
        <v>178</v>
      </c>
      <c r="Q687" s="434">
        <f>C687*((100-Discounts!$B$52)/100)</f>
        <v>19.8</v>
      </c>
      <c r="R687" t="str">
        <f>IF(ISNUMBER(Table3[[#This Row],[Thickness]]), "Zenith", "")</f>
        <v>Zenith</v>
      </c>
      <c r="S687">
        <v>3</v>
      </c>
      <c r="T687">
        <v>200</v>
      </c>
    </row>
    <row r="688" spans="1:20" x14ac:dyDescent="0.85">
      <c r="A688" s="429" t="s">
        <v>565</v>
      </c>
      <c r="B688" s="429" t="s">
        <v>2</v>
      </c>
      <c r="C688" s="430">
        <v>44</v>
      </c>
      <c r="D688" s="430"/>
      <c r="E688" s="430" t="s">
        <v>757</v>
      </c>
      <c r="F688" s="431">
        <v>6</v>
      </c>
      <c r="G688" s="431">
        <v>2000</v>
      </c>
      <c r="H688" s="431">
        <v>20000</v>
      </c>
      <c r="I688" s="431" t="s">
        <v>778</v>
      </c>
      <c r="J688" s="432" t="s">
        <v>0</v>
      </c>
      <c r="K688" s="432">
        <v>-30</v>
      </c>
      <c r="L688" s="432">
        <v>70</v>
      </c>
      <c r="M688" s="436" t="s">
        <v>577</v>
      </c>
      <c r="N688" s="436">
        <v>70</v>
      </c>
      <c r="O688" s="431">
        <v>2</v>
      </c>
      <c r="P688" s="431" t="s">
        <v>178</v>
      </c>
      <c r="Q688" s="430">
        <f>C688*((100-Discounts!$B$52)/100)</f>
        <v>19.8</v>
      </c>
      <c r="R688" t="str">
        <f>IF(ISNUMBER(Table3[[#This Row],[Thickness]]), "Zenith", "")</f>
        <v>Zenith</v>
      </c>
      <c r="S688">
        <v>3</v>
      </c>
      <c r="T688">
        <v>200</v>
      </c>
    </row>
    <row r="689" spans="1:20" x14ac:dyDescent="0.85">
      <c r="A689" s="433" t="s">
        <v>566</v>
      </c>
      <c r="B689" s="429" t="s">
        <v>2</v>
      </c>
      <c r="C689" s="434">
        <v>50</v>
      </c>
      <c r="D689" s="434"/>
      <c r="E689" s="430" t="s">
        <v>757</v>
      </c>
      <c r="F689" s="435">
        <v>8</v>
      </c>
      <c r="G689" s="435">
        <v>1700</v>
      </c>
      <c r="H689" s="435">
        <v>12000</v>
      </c>
      <c r="I689" s="431" t="s">
        <v>778</v>
      </c>
      <c r="J689" s="432" t="s">
        <v>0</v>
      </c>
      <c r="K689" s="432">
        <v>-30</v>
      </c>
      <c r="L689" s="432">
        <v>70</v>
      </c>
      <c r="M689" s="436" t="s">
        <v>577</v>
      </c>
      <c r="N689" s="436">
        <v>70</v>
      </c>
      <c r="O689" s="435">
        <v>1</v>
      </c>
      <c r="P689" s="435" t="s">
        <v>178</v>
      </c>
      <c r="Q689" s="434">
        <f>C689*((100-Discounts!$B$52)/100)</f>
        <v>22.5</v>
      </c>
      <c r="R689" t="str">
        <f>IF(ISNUMBER(Table3[[#This Row],[Thickness]]), "Zenith", "")</f>
        <v>Zenith</v>
      </c>
      <c r="S689">
        <v>3</v>
      </c>
      <c r="T689">
        <v>200</v>
      </c>
    </row>
    <row r="690" spans="1:20" x14ac:dyDescent="0.85">
      <c r="A690" s="429" t="s">
        <v>566</v>
      </c>
      <c r="B690" s="429" t="s">
        <v>2</v>
      </c>
      <c r="C690" s="430">
        <v>50</v>
      </c>
      <c r="D690" s="430"/>
      <c r="E690" s="430" t="s">
        <v>757</v>
      </c>
      <c r="F690" s="431">
        <v>8</v>
      </c>
      <c r="G690" s="431">
        <v>2000</v>
      </c>
      <c r="H690" s="431">
        <v>10000</v>
      </c>
      <c r="I690" s="431" t="s">
        <v>778</v>
      </c>
      <c r="J690" s="432" t="s">
        <v>0</v>
      </c>
      <c r="K690" s="432">
        <v>-30</v>
      </c>
      <c r="L690" s="432">
        <v>70</v>
      </c>
      <c r="M690" s="436" t="s">
        <v>577</v>
      </c>
      <c r="N690" s="436">
        <v>70</v>
      </c>
      <c r="O690" s="431">
        <v>1</v>
      </c>
      <c r="P690" s="431" t="s">
        <v>178</v>
      </c>
      <c r="Q690" s="430">
        <f>C690*((100-Discounts!$B$52)/100)</f>
        <v>22.5</v>
      </c>
      <c r="R690" t="str">
        <f>IF(ISNUMBER(Table3[[#This Row],[Thickness]]), "Zenith", "")</f>
        <v>Zenith</v>
      </c>
      <c r="S690">
        <v>3</v>
      </c>
      <c r="T690">
        <v>200</v>
      </c>
    </row>
    <row r="691" spans="1:20" ht="27" thickBot="1" x14ac:dyDescent="0.9">
      <c r="A691" s="410"/>
      <c r="B691" s="411"/>
      <c r="C691" s="412" t="s">
        <v>597</v>
      </c>
      <c r="D691" s="413"/>
      <c r="E691" s="413"/>
      <c r="F691" s="414" t="s">
        <v>582</v>
      </c>
      <c r="G691" s="414">
        <v>0</v>
      </c>
      <c r="H691" s="338">
        <v>0</v>
      </c>
      <c r="I691" s="217" t="s">
        <v>778</v>
      </c>
      <c r="M691" s="337"/>
      <c r="N691" s="349"/>
      <c r="O691" s="338"/>
      <c r="P691" s="338"/>
      <c r="Q691" s="412" t="s">
        <v>323</v>
      </c>
      <c r="R691" t="str">
        <f>IF(ISNUMBER(Table3[[#This Row],[Thickness]]), "Zenith", "")</f>
        <v/>
      </c>
    </row>
    <row r="692" spans="1:20" ht="54" thickTop="1" thickBot="1" x14ac:dyDescent="0.9">
      <c r="A692" s="156" t="s">
        <v>322</v>
      </c>
      <c r="B692" s="309"/>
      <c r="C692" s="287" t="s">
        <v>179</v>
      </c>
      <c r="D692" s="318"/>
      <c r="E692" s="318"/>
      <c r="F692" s="285" t="s">
        <v>320</v>
      </c>
      <c r="G692" s="285" t="e">
        <v>#VALUE!</v>
      </c>
      <c r="H692" s="286" t="e">
        <v>#VALUE!</v>
      </c>
      <c r="I692" s="217" t="s">
        <v>778</v>
      </c>
      <c r="M692" s="286" t="s">
        <v>568</v>
      </c>
      <c r="N692" s="233"/>
      <c r="O692" s="286" t="s">
        <v>171</v>
      </c>
      <c r="P692" s="286" t="s">
        <v>325</v>
      </c>
      <c r="Q692" s="287" t="s">
        <v>199</v>
      </c>
      <c r="R692" t="str">
        <f>IF(ISNUMBER(Table3[[#This Row],[Thickness]]), "Zenith", "")</f>
        <v/>
      </c>
    </row>
    <row r="693" spans="1:20" ht="27" thickTop="1" x14ac:dyDescent="0.85">
      <c r="A693" s="429" t="s">
        <v>576</v>
      </c>
      <c r="B693" s="429" t="s">
        <v>764</v>
      </c>
      <c r="C693" s="430">
        <v>38</v>
      </c>
      <c r="D693" s="430"/>
      <c r="E693" s="430" t="s">
        <v>757</v>
      </c>
      <c r="F693" s="431">
        <v>3</v>
      </c>
      <c r="G693" s="431">
        <v>1000</v>
      </c>
      <c r="H693" s="431">
        <v>10000</v>
      </c>
      <c r="I693" s="431" t="s">
        <v>778</v>
      </c>
      <c r="J693" s="432" t="s">
        <v>210</v>
      </c>
      <c r="K693" s="432">
        <v>-25</v>
      </c>
      <c r="L693" s="432">
        <v>120</v>
      </c>
      <c r="M693" s="431" t="s">
        <v>572</v>
      </c>
      <c r="N693" s="432">
        <v>70</v>
      </c>
      <c r="O693" s="431" t="s">
        <v>168</v>
      </c>
      <c r="P693" s="431" t="s">
        <v>168</v>
      </c>
      <c r="Q693" s="430">
        <f>C693*((100-Discounts!$B$53)/100)</f>
        <v>15.200000000000001</v>
      </c>
      <c r="R693" t="str">
        <f>IF(ISNUMBER(Table3[[#This Row],[Thickness]]), "Zenith", "")</f>
        <v>Zenith</v>
      </c>
      <c r="S693">
        <v>5</v>
      </c>
      <c r="T693">
        <v>250</v>
      </c>
    </row>
    <row r="694" spans="1:20" x14ac:dyDescent="0.85">
      <c r="A694" s="433" t="s">
        <v>576</v>
      </c>
      <c r="B694" s="429" t="s">
        <v>764</v>
      </c>
      <c r="C694" s="434">
        <v>38</v>
      </c>
      <c r="D694" s="434"/>
      <c r="E694" s="430" t="s">
        <v>757</v>
      </c>
      <c r="F694" s="435">
        <v>3</v>
      </c>
      <c r="G694" s="435">
        <v>1200</v>
      </c>
      <c r="H694" s="435">
        <v>10000</v>
      </c>
      <c r="I694" s="431" t="s">
        <v>778</v>
      </c>
      <c r="J694" s="432" t="s">
        <v>210</v>
      </c>
      <c r="K694" s="432">
        <v>-25</v>
      </c>
      <c r="L694" s="432">
        <v>120</v>
      </c>
      <c r="M694" s="435" t="s">
        <v>572</v>
      </c>
      <c r="N694" s="432">
        <v>70</v>
      </c>
      <c r="O694" s="435" t="s">
        <v>168</v>
      </c>
      <c r="P694" s="435" t="s">
        <v>168</v>
      </c>
      <c r="Q694" s="434">
        <f>C694*((100-Discounts!$B$53)/100)</f>
        <v>15.200000000000001</v>
      </c>
      <c r="R694" t="str">
        <f>IF(ISNUMBER(Table3[[#This Row],[Thickness]]), "Zenith", "")</f>
        <v>Zenith</v>
      </c>
      <c r="S694">
        <v>5</v>
      </c>
      <c r="T694">
        <v>250</v>
      </c>
    </row>
    <row r="695" spans="1:20" x14ac:dyDescent="0.85">
      <c r="A695" s="429" t="s">
        <v>576</v>
      </c>
      <c r="B695" s="429" t="s">
        <v>764</v>
      </c>
      <c r="C695" s="430">
        <v>38</v>
      </c>
      <c r="D695" s="430"/>
      <c r="E695" s="430" t="s">
        <v>757</v>
      </c>
      <c r="F695" s="431">
        <v>3</v>
      </c>
      <c r="G695" s="431">
        <v>1000</v>
      </c>
      <c r="H695" s="431">
        <v>10000</v>
      </c>
      <c r="I695" s="431" t="s">
        <v>778</v>
      </c>
      <c r="J695" s="432" t="s">
        <v>210</v>
      </c>
      <c r="K695" s="432">
        <v>-25</v>
      </c>
      <c r="L695" s="432">
        <v>120</v>
      </c>
      <c r="M695" s="431" t="s">
        <v>577</v>
      </c>
      <c r="N695" s="432">
        <v>70</v>
      </c>
      <c r="O695" s="431" t="s">
        <v>168</v>
      </c>
      <c r="P695" s="431" t="s">
        <v>168</v>
      </c>
      <c r="Q695" s="430">
        <f>C695*((100-Discounts!$B$53)/100)</f>
        <v>15.200000000000001</v>
      </c>
      <c r="R695" t="str">
        <f>IF(ISNUMBER(Table3[[#This Row],[Thickness]]), "Zenith", "")</f>
        <v>Zenith</v>
      </c>
      <c r="S695">
        <v>5</v>
      </c>
      <c r="T695">
        <v>250</v>
      </c>
    </row>
    <row r="696" spans="1:20" x14ac:dyDescent="0.85">
      <c r="A696" s="433" t="s">
        <v>581</v>
      </c>
      <c r="B696" s="429" t="s">
        <v>764</v>
      </c>
      <c r="C696" s="434">
        <v>58.5</v>
      </c>
      <c r="D696" s="434"/>
      <c r="E696" s="430" t="s">
        <v>757</v>
      </c>
      <c r="F696" s="435">
        <v>4.5</v>
      </c>
      <c r="G696" s="435">
        <v>1000</v>
      </c>
      <c r="H696" s="435">
        <v>10000</v>
      </c>
      <c r="I696" s="431" t="s">
        <v>778</v>
      </c>
      <c r="J696" s="432" t="s">
        <v>210</v>
      </c>
      <c r="K696" s="432">
        <v>-25</v>
      </c>
      <c r="L696" s="432">
        <v>120</v>
      </c>
      <c r="M696" s="435" t="s">
        <v>572</v>
      </c>
      <c r="N696" s="432">
        <v>70</v>
      </c>
      <c r="O696" s="435" t="s">
        <v>168</v>
      </c>
      <c r="P696" s="435" t="s">
        <v>168</v>
      </c>
      <c r="Q696" s="434">
        <f>C696*((100-Discounts!$B$53)/100)</f>
        <v>23.400000000000002</v>
      </c>
      <c r="R696" t="str">
        <f>IF(ISNUMBER(Table3[[#This Row],[Thickness]]), "Zenith", "")</f>
        <v>Zenith</v>
      </c>
      <c r="S696">
        <v>5</v>
      </c>
      <c r="T696">
        <v>250</v>
      </c>
    </row>
    <row r="697" spans="1:20" x14ac:dyDescent="0.85">
      <c r="A697" s="429" t="s">
        <v>581</v>
      </c>
      <c r="B697" s="429" t="s">
        <v>764</v>
      </c>
      <c r="C697" s="430">
        <v>58.5</v>
      </c>
      <c r="D697" s="430"/>
      <c r="E697" s="430" t="s">
        <v>757</v>
      </c>
      <c r="F697" s="431">
        <v>4.5</v>
      </c>
      <c r="G697" s="431">
        <v>1200</v>
      </c>
      <c r="H697" s="431">
        <v>10000</v>
      </c>
      <c r="I697" s="431" t="s">
        <v>778</v>
      </c>
      <c r="J697" s="432" t="s">
        <v>210</v>
      </c>
      <c r="K697" s="432">
        <v>-25</v>
      </c>
      <c r="L697" s="432">
        <v>120</v>
      </c>
      <c r="M697" s="431" t="s">
        <v>572</v>
      </c>
      <c r="N697" s="432">
        <v>70</v>
      </c>
      <c r="O697" s="431" t="s">
        <v>168</v>
      </c>
      <c r="P697" s="431" t="s">
        <v>168</v>
      </c>
      <c r="Q697" s="430">
        <f>C697*((100-Discounts!$B$53)/100)</f>
        <v>23.400000000000002</v>
      </c>
      <c r="R697" t="str">
        <f>IF(ISNUMBER(Table3[[#This Row],[Thickness]]), "Zenith", "")</f>
        <v>Zenith</v>
      </c>
      <c r="S697">
        <v>5</v>
      </c>
      <c r="T697">
        <v>250</v>
      </c>
    </row>
    <row r="698" spans="1:20" ht="27" thickBot="1" x14ac:dyDescent="0.9">
      <c r="A698" s="410"/>
      <c r="B698" s="411"/>
      <c r="C698" s="412" t="s">
        <v>597</v>
      </c>
      <c r="D698" s="413"/>
      <c r="E698" s="413"/>
      <c r="F698" s="414" t="s">
        <v>583</v>
      </c>
      <c r="G698" s="414">
        <v>0</v>
      </c>
      <c r="H698" s="338">
        <v>0</v>
      </c>
      <c r="I698" s="217" t="s">
        <v>778</v>
      </c>
      <c r="M698" s="337"/>
      <c r="N698" s="343"/>
      <c r="O698" s="338"/>
      <c r="P698" s="338"/>
      <c r="Q698" s="412" t="s">
        <v>323</v>
      </c>
      <c r="R698" t="str">
        <f>IF(ISNUMBER(Table3[[#This Row],[Thickness]]), "Zenith", "")</f>
        <v/>
      </c>
    </row>
    <row r="699" spans="1:20" ht="54" thickTop="1" thickBot="1" x14ac:dyDescent="0.9">
      <c r="A699" s="156" t="s">
        <v>322</v>
      </c>
      <c r="B699" s="309"/>
      <c r="C699" s="287" t="s">
        <v>179</v>
      </c>
      <c r="D699" s="318"/>
      <c r="E699" s="318"/>
      <c r="F699" s="285" t="s">
        <v>320</v>
      </c>
      <c r="G699" s="285" t="e">
        <v>#VALUE!</v>
      </c>
      <c r="H699" s="286" t="e">
        <v>#VALUE!</v>
      </c>
      <c r="I699" s="217" t="s">
        <v>778</v>
      </c>
      <c r="M699" s="286" t="s">
        <v>568</v>
      </c>
      <c r="N699" s="230"/>
      <c r="O699" s="286" t="s">
        <v>171</v>
      </c>
      <c r="P699" s="286" t="s">
        <v>325</v>
      </c>
      <c r="Q699" s="287" t="s">
        <v>199</v>
      </c>
      <c r="R699" t="str">
        <f>IF(ISNUMBER(Table3[[#This Row],[Thickness]]), "Zenith", "")</f>
        <v/>
      </c>
    </row>
    <row r="700" spans="1:20" ht="27" thickTop="1" x14ac:dyDescent="0.85">
      <c r="A700" s="429" t="s">
        <v>584</v>
      </c>
      <c r="B700" s="429" t="s">
        <v>583</v>
      </c>
      <c r="C700" s="430">
        <v>27</v>
      </c>
      <c r="D700" s="430"/>
      <c r="E700" s="430" t="s">
        <v>757</v>
      </c>
      <c r="F700" s="431">
        <v>1.6</v>
      </c>
      <c r="G700" s="431">
        <v>1000</v>
      </c>
      <c r="H700" s="431">
        <v>10000</v>
      </c>
      <c r="I700" s="431" t="s">
        <v>778</v>
      </c>
      <c r="J700" s="432" t="s">
        <v>210</v>
      </c>
      <c r="K700" s="432">
        <v>-40</v>
      </c>
      <c r="L700" s="432">
        <v>70</v>
      </c>
      <c r="M700" s="431" t="s">
        <v>585</v>
      </c>
      <c r="N700" s="436">
        <v>60</v>
      </c>
      <c r="O700" s="431" t="s">
        <v>168</v>
      </c>
      <c r="P700" s="431" t="s">
        <v>168</v>
      </c>
      <c r="Q700" s="430">
        <f>C700*((100-Discounts!$B$53)/100)</f>
        <v>10.8</v>
      </c>
      <c r="R700" t="str">
        <f>IF(ISNUMBER(Table3[[#This Row],[Thickness]]), "Zenith", "")</f>
        <v>Zenith</v>
      </c>
      <c r="S700">
        <v>16</v>
      </c>
      <c r="T700">
        <v>600</v>
      </c>
    </row>
    <row r="701" spans="1:20" ht="27" thickBot="1" x14ac:dyDescent="0.9">
      <c r="A701" s="410"/>
      <c r="B701" s="411"/>
      <c r="C701" s="412" t="s">
        <v>597</v>
      </c>
      <c r="D701" s="413"/>
      <c r="E701" s="413"/>
      <c r="F701" s="414" t="s">
        <v>589</v>
      </c>
      <c r="G701" s="414">
        <v>0</v>
      </c>
      <c r="H701" s="338">
        <v>0</v>
      </c>
      <c r="I701" s="217" t="s">
        <v>778</v>
      </c>
      <c r="M701" s="337"/>
      <c r="N701" s="349"/>
      <c r="O701" s="338"/>
      <c r="P701" s="338"/>
      <c r="Q701" s="412" t="s">
        <v>323</v>
      </c>
      <c r="R701" t="str">
        <f>IF(ISNUMBER(Table3[[#This Row],[Thickness]]), "Zenith", "")</f>
        <v/>
      </c>
    </row>
    <row r="702" spans="1:20" ht="54" thickTop="1" thickBot="1" x14ac:dyDescent="0.9">
      <c r="A702" s="156" t="s">
        <v>322</v>
      </c>
      <c r="B702" s="309"/>
      <c r="C702" s="287" t="s">
        <v>179</v>
      </c>
      <c r="D702" s="318"/>
      <c r="E702" s="318"/>
      <c r="F702" s="285" t="s">
        <v>320</v>
      </c>
      <c r="G702" s="285" t="e">
        <v>#VALUE!</v>
      </c>
      <c r="H702" s="286" t="e">
        <v>#VALUE!</v>
      </c>
      <c r="I702" s="217" t="s">
        <v>778</v>
      </c>
      <c r="M702" s="286" t="s">
        <v>568</v>
      </c>
      <c r="N702" s="233"/>
      <c r="O702" s="286" t="s">
        <v>171</v>
      </c>
      <c r="P702" s="286" t="s">
        <v>325</v>
      </c>
      <c r="Q702" s="287" t="s">
        <v>199</v>
      </c>
      <c r="R702" t="str">
        <f>IF(ISNUMBER(Table3[[#This Row],[Thickness]]), "Zenith", "")</f>
        <v/>
      </c>
    </row>
    <row r="703" spans="1:20" ht="27" thickTop="1" x14ac:dyDescent="0.85">
      <c r="A703" s="429" t="s">
        <v>590</v>
      </c>
      <c r="B703" s="429" t="s">
        <v>765</v>
      </c>
      <c r="C703" s="430">
        <v>40</v>
      </c>
      <c r="D703" s="430"/>
      <c r="E703" s="430" t="s">
        <v>757</v>
      </c>
      <c r="F703" s="431">
        <v>3</v>
      </c>
      <c r="G703" s="431">
        <v>1400</v>
      </c>
      <c r="H703" s="431">
        <v>10000</v>
      </c>
      <c r="I703" s="431" t="s">
        <v>778</v>
      </c>
      <c r="J703" s="432" t="s">
        <v>210</v>
      </c>
      <c r="K703" s="432">
        <v>-25</v>
      </c>
      <c r="L703" s="432">
        <v>120</v>
      </c>
      <c r="M703" s="431" t="s">
        <v>572</v>
      </c>
      <c r="N703" s="432">
        <v>70</v>
      </c>
      <c r="O703" s="431" t="s">
        <v>168</v>
      </c>
      <c r="P703" s="431" t="s">
        <v>168</v>
      </c>
      <c r="Q703" s="430">
        <f>C703*((100-Discounts!$B$53)/100)</f>
        <v>16</v>
      </c>
      <c r="R703" t="str">
        <f>IF(ISNUMBER(Table3[[#This Row],[Thickness]]), "Zenith", "")</f>
        <v>Zenith</v>
      </c>
      <c r="S703">
        <v>5</v>
      </c>
      <c r="T703">
        <v>250</v>
      </c>
    </row>
    <row r="704" spans="1:20" ht="27" thickBot="1" x14ac:dyDescent="0.9">
      <c r="A704" s="410"/>
      <c r="B704" s="411"/>
      <c r="C704" s="412" t="s">
        <v>597</v>
      </c>
      <c r="D704" s="413"/>
      <c r="E704" s="413"/>
      <c r="F704" s="414" t="s">
        <v>591</v>
      </c>
      <c r="G704" s="414">
        <v>0</v>
      </c>
      <c r="H704" s="338">
        <v>0</v>
      </c>
      <c r="I704" s="217" t="s">
        <v>778</v>
      </c>
      <c r="M704" s="415"/>
      <c r="N704" s="343"/>
      <c r="O704" s="338"/>
      <c r="P704" s="338"/>
      <c r="Q704" s="412" t="s">
        <v>323</v>
      </c>
      <c r="R704" t="str">
        <f>IF(ISNUMBER(Table3[[#This Row],[Thickness]]), "Zenith", "")</f>
        <v/>
      </c>
    </row>
    <row r="705" spans="1:20" ht="54" thickTop="1" thickBot="1" x14ac:dyDescent="0.9">
      <c r="A705" s="156" t="s">
        <v>322</v>
      </c>
      <c r="B705" s="309"/>
      <c r="C705" s="287" t="s">
        <v>179</v>
      </c>
      <c r="D705" s="318"/>
      <c r="E705" s="318"/>
      <c r="F705" s="285" t="s">
        <v>320</v>
      </c>
      <c r="G705" s="285" t="e">
        <v>#VALUE!</v>
      </c>
      <c r="H705" s="286" t="e">
        <v>#VALUE!</v>
      </c>
      <c r="I705" s="217" t="s">
        <v>778</v>
      </c>
      <c r="M705" s="288"/>
      <c r="N705" s="230"/>
      <c r="O705" s="286" t="s">
        <v>171</v>
      </c>
      <c r="P705" s="286" t="s">
        <v>325</v>
      </c>
      <c r="Q705" s="287" t="s">
        <v>199</v>
      </c>
      <c r="R705" t="str">
        <f>IF(ISNUMBER(Table3[[#This Row],[Thickness]]), "Zenith", "")</f>
        <v/>
      </c>
    </row>
    <row r="706" spans="1:20" ht="27" thickTop="1" x14ac:dyDescent="0.85">
      <c r="A706" s="429" t="s">
        <v>592</v>
      </c>
      <c r="B706" s="429" t="s">
        <v>591</v>
      </c>
      <c r="C706" s="430">
        <v>16</v>
      </c>
      <c r="D706" s="430"/>
      <c r="E706" s="430" t="s">
        <v>757</v>
      </c>
      <c r="F706" s="431">
        <v>3</v>
      </c>
      <c r="G706" s="431">
        <v>1000</v>
      </c>
      <c r="H706" s="431">
        <v>10000</v>
      </c>
      <c r="I706" s="431" t="s">
        <v>778</v>
      </c>
      <c r="J706" s="432" t="s">
        <v>0</v>
      </c>
      <c r="K706" s="432">
        <v>-30</v>
      </c>
      <c r="L706" s="432">
        <v>70</v>
      </c>
      <c r="M706" s="436" t="s">
        <v>577</v>
      </c>
      <c r="N706" s="436">
        <v>65</v>
      </c>
      <c r="O706" s="431" t="s">
        <v>168</v>
      </c>
      <c r="P706" s="431" t="s">
        <v>168</v>
      </c>
      <c r="Q706" s="430">
        <f>C706*((100-Discounts!$B$54)/100)</f>
        <v>6.4</v>
      </c>
      <c r="R706" t="str">
        <f>IF(ISNUMBER(Table3[[#This Row],[Thickness]]), "Zenith", "")</f>
        <v>Zenith</v>
      </c>
      <c r="S706">
        <v>3.5</v>
      </c>
      <c r="T706">
        <v>250</v>
      </c>
    </row>
    <row r="707" spans="1:20" x14ac:dyDescent="0.85">
      <c r="A707" s="433" t="s">
        <v>592</v>
      </c>
      <c r="B707" s="429" t="s">
        <v>591</v>
      </c>
      <c r="C707" s="434">
        <v>16</v>
      </c>
      <c r="D707" s="434"/>
      <c r="E707" s="430" t="s">
        <v>757</v>
      </c>
      <c r="F707" s="435">
        <v>3</v>
      </c>
      <c r="G707" s="435">
        <v>1200</v>
      </c>
      <c r="H707" s="435">
        <v>10000</v>
      </c>
      <c r="I707" s="431" t="s">
        <v>778</v>
      </c>
      <c r="J707" s="432" t="s">
        <v>0</v>
      </c>
      <c r="K707" s="432">
        <v>-30</v>
      </c>
      <c r="L707" s="432">
        <v>70</v>
      </c>
      <c r="M707" s="436" t="s">
        <v>577</v>
      </c>
      <c r="N707" s="436">
        <v>65</v>
      </c>
      <c r="O707" s="435" t="s">
        <v>168</v>
      </c>
      <c r="P707" s="435" t="s">
        <v>168</v>
      </c>
      <c r="Q707" s="434">
        <f>C707*((100-Discounts!$B$54)/100)</f>
        <v>6.4</v>
      </c>
      <c r="R707" t="str">
        <f>IF(ISNUMBER(Table3[[#This Row],[Thickness]]), "Zenith", "")</f>
        <v>Zenith</v>
      </c>
      <c r="S707">
        <v>3.5</v>
      </c>
      <c r="T707">
        <v>250</v>
      </c>
    </row>
    <row r="708" spans="1:20" x14ac:dyDescent="0.85">
      <c r="A708" s="429" t="s">
        <v>592</v>
      </c>
      <c r="B708" s="429" t="s">
        <v>591</v>
      </c>
      <c r="C708" s="430">
        <v>16</v>
      </c>
      <c r="D708" s="430"/>
      <c r="E708" s="430" t="s">
        <v>757</v>
      </c>
      <c r="F708" s="431">
        <v>3</v>
      </c>
      <c r="G708" s="431">
        <v>1400</v>
      </c>
      <c r="H708" s="431">
        <v>10000</v>
      </c>
      <c r="I708" s="431" t="s">
        <v>778</v>
      </c>
      <c r="J708" s="432" t="s">
        <v>0</v>
      </c>
      <c r="K708" s="432">
        <v>-30</v>
      </c>
      <c r="L708" s="432">
        <v>70</v>
      </c>
      <c r="M708" s="436" t="s">
        <v>577</v>
      </c>
      <c r="N708" s="436">
        <v>65</v>
      </c>
      <c r="O708" s="431" t="s">
        <v>168</v>
      </c>
      <c r="P708" s="431" t="s">
        <v>168</v>
      </c>
      <c r="Q708" s="430">
        <f>C708*((100-Discounts!$B$54)/100)</f>
        <v>6.4</v>
      </c>
      <c r="R708" t="str">
        <f>IF(ISNUMBER(Table3[[#This Row],[Thickness]]), "Zenith", "")</f>
        <v>Zenith</v>
      </c>
      <c r="S708">
        <v>3.5</v>
      </c>
      <c r="T708">
        <v>250</v>
      </c>
    </row>
    <row r="709" spans="1:20" x14ac:dyDescent="0.85">
      <c r="A709" s="433" t="s">
        <v>593</v>
      </c>
      <c r="B709" s="429" t="s">
        <v>591</v>
      </c>
      <c r="C709" s="434">
        <v>17.5</v>
      </c>
      <c r="D709" s="434"/>
      <c r="E709" s="430" t="s">
        <v>757</v>
      </c>
      <c r="F709" s="435">
        <v>3</v>
      </c>
      <c r="G709" s="435">
        <v>1000</v>
      </c>
      <c r="H709" s="435">
        <v>10000</v>
      </c>
      <c r="I709" s="431" t="s">
        <v>778</v>
      </c>
      <c r="J709" s="432" t="s">
        <v>0</v>
      </c>
      <c r="K709" s="432">
        <v>-30</v>
      </c>
      <c r="L709" s="432">
        <v>70</v>
      </c>
      <c r="M709" s="436" t="s">
        <v>577</v>
      </c>
      <c r="N709" s="436">
        <v>65</v>
      </c>
      <c r="O709" s="435">
        <v>1</v>
      </c>
      <c r="P709" s="435" t="s">
        <v>172</v>
      </c>
      <c r="Q709" s="434">
        <f>C709*((100-Discounts!$B$54)/100)</f>
        <v>7</v>
      </c>
      <c r="R709" t="str">
        <f>IF(ISNUMBER(Table3[[#This Row],[Thickness]]), "Zenith", "")</f>
        <v>Zenith</v>
      </c>
      <c r="S709">
        <v>3.5</v>
      </c>
      <c r="T709">
        <v>250</v>
      </c>
    </row>
    <row r="710" spans="1:20" x14ac:dyDescent="0.85">
      <c r="A710" s="429" t="s">
        <v>593</v>
      </c>
      <c r="B710" s="429" t="s">
        <v>591</v>
      </c>
      <c r="C710" s="430">
        <v>17.5</v>
      </c>
      <c r="D710" s="430"/>
      <c r="E710" s="430" t="s">
        <v>757</v>
      </c>
      <c r="F710" s="431">
        <v>3</v>
      </c>
      <c r="G710" s="431">
        <v>1200</v>
      </c>
      <c r="H710" s="431">
        <v>10000</v>
      </c>
      <c r="I710" s="431" t="s">
        <v>778</v>
      </c>
      <c r="J710" s="432" t="s">
        <v>0</v>
      </c>
      <c r="K710" s="432">
        <v>-30</v>
      </c>
      <c r="L710" s="432">
        <v>70</v>
      </c>
      <c r="M710" s="436" t="s">
        <v>577</v>
      </c>
      <c r="N710" s="436">
        <v>65</v>
      </c>
      <c r="O710" s="431">
        <v>1</v>
      </c>
      <c r="P710" s="431" t="s">
        <v>172</v>
      </c>
      <c r="Q710" s="430">
        <f>C710*((100-Discounts!$B$54)/100)</f>
        <v>7</v>
      </c>
      <c r="R710" t="str">
        <f>IF(ISNUMBER(Table3[[#This Row],[Thickness]]), "Zenith", "")</f>
        <v>Zenith</v>
      </c>
      <c r="S710">
        <v>3.5</v>
      </c>
      <c r="T710">
        <v>250</v>
      </c>
    </row>
    <row r="711" spans="1:20" x14ac:dyDescent="0.85">
      <c r="A711" s="433" t="s">
        <v>594</v>
      </c>
      <c r="B711" s="429" t="s">
        <v>591</v>
      </c>
      <c r="C711" s="434">
        <v>22.75</v>
      </c>
      <c r="D711" s="434"/>
      <c r="E711" s="430" t="s">
        <v>757</v>
      </c>
      <c r="F711" s="435">
        <v>4</v>
      </c>
      <c r="G711" s="435">
        <v>1000</v>
      </c>
      <c r="H711" s="435">
        <v>10000</v>
      </c>
      <c r="I711" s="431" t="s">
        <v>778</v>
      </c>
      <c r="J711" s="432" t="s">
        <v>0</v>
      </c>
      <c r="K711" s="432">
        <v>-30</v>
      </c>
      <c r="L711" s="432">
        <v>70</v>
      </c>
      <c r="M711" s="436" t="s">
        <v>577</v>
      </c>
      <c r="N711" s="436">
        <v>65</v>
      </c>
      <c r="O711" s="435" t="s">
        <v>168</v>
      </c>
      <c r="P711" s="435" t="s">
        <v>168</v>
      </c>
      <c r="Q711" s="434">
        <f>C711*((100-Discounts!$B$54)/100)</f>
        <v>9.1</v>
      </c>
      <c r="R711" t="str">
        <f>IF(ISNUMBER(Table3[[#This Row],[Thickness]]), "Zenith", "")</f>
        <v>Zenith</v>
      </c>
      <c r="S711">
        <v>3.5</v>
      </c>
      <c r="T711">
        <v>250</v>
      </c>
    </row>
    <row r="712" spans="1:20" x14ac:dyDescent="0.85">
      <c r="A712" s="429" t="s">
        <v>594</v>
      </c>
      <c r="B712" s="429" t="s">
        <v>591</v>
      </c>
      <c r="C712" s="430">
        <v>22.75</v>
      </c>
      <c r="D712" s="430"/>
      <c r="E712" s="430" t="s">
        <v>757</v>
      </c>
      <c r="F712" s="431">
        <v>4</v>
      </c>
      <c r="G712" s="431">
        <v>1200</v>
      </c>
      <c r="H712" s="431">
        <v>10000</v>
      </c>
      <c r="I712" s="431" t="s">
        <v>778</v>
      </c>
      <c r="J712" s="432" t="s">
        <v>0</v>
      </c>
      <c r="K712" s="432">
        <v>-30</v>
      </c>
      <c r="L712" s="432">
        <v>70</v>
      </c>
      <c r="M712" s="436" t="s">
        <v>577</v>
      </c>
      <c r="N712" s="436">
        <v>65</v>
      </c>
      <c r="O712" s="431" t="s">
        <v>168</v>
      </c>
      <c r="P712" s="431" t="s">
        <v>168</v>
      </c>
      <c r="Q712" s="430">
        <f>C712*((100-Discounts!$B$54)/100)</f>
        <v>9.1</v>
      </c>
      <c r="R712" t="str">
        <f>IF(ISNUMBER(Table3[[#This Row],[Thickness]]), "Zenith", "")</f>
        <v>Zenith</v>
      </c>
      <c r="S712">
        <v>3.5</v>
      </c>
      <c r="T712">
        <v>250</v>
      </c>
    </row>
    <row r="713" spans="1:20" ht="27" thickBot="1" x14ac:dyDescent="0.9">
      <c r="A713" s="410"/>
      <c r="B713" s="411"/>
      <c r="C713" s="412" t="s">
        <v>597</v>
      </c>
      <c r="D713" s="413"/>
      <c r="E713" s="413"/>
      <c r="F713" s="414" t="s">
        <v>595</v>
      </c>
      <c r="G713" s="414">
        <v>0</v>
      </c>
      <c r="H713" s="338">
        <v>0</v>
      </c>
      <c r="I713" s="217" t="s">
        <v>778</v>
      </c>
      <c r="M713" s="416"/>
      <c r="N713" s="349"/>
      <c r="O713" s="338"/>
      <c r="P713" s="338"/>
      <c r="Q713" s="412" t="s">
        <v>323</v>
      </c>
      <c r="R713" t="str">
        <f>IF(ISNUMBER(Table3[[#This Row],[Thickness]]), "Zenith", "")</f>
        <v/>
      </c>
    </row>
    <row r="714" spans="1:20" ht="54" thickTop="1" thickBot="1" x14ac:dyDescent="0.9">
      <c r="A714" s="156" t="s">
        <v>322</v>
      </c>
      <c r="B714" s="309"/>
      <c r="C714" s="287" t="s">
        <v>179</v>
      </c>
      <c r="D714" s="318"/>
      <c r="E714" s="318"/>
      <c r="F714" s="285" t="s">
        <v>320</v>
      </c>
      <c r="G714" s="285" t="e">
        <v>#VALUE!</v>
      </c>
      <c r="H714" s="286" t="e">
        <v>#VALUE!</v>
      </c>
      <c r="I714" s="217" t="s">
        <v>778</v>
      </c>
      <c r="M714" s="291"/>
      <c r="N714" s="233"/>
      <c r="O714" s="286" t="s">
        <v>171</v>
      </c>
      <c r="P714" s="286" t="s">
        <v>325</v>
      </c>
      <c r="Q714" s="287" t="s">
        <v>199</v>
      </c>
      <c r="R714" t="str">
        <f>IF(ISNUMBER(Table3[[#This Row],[Thickness]]), "Zenith", "")</f>
        <v/>
      </c>
    </row>
    <row r="715" spans="1:20" ht="27" thickTop="1" x14ac:dyDescent="0.85">
      <c r="A715" s="429" t="s">
        <v>596</v>
      </c>
      <c r="B715" s="429" t="s">
        <v>595</v>
      </c>
      <c r="C715" s="430">
        <v>24.25</v>
      </c>
      <c r="D715" s="430"/>
      <c r="E715" s="430" t="s">
        <v>757</v>
      </c>
      <c r="F715" s="431">
        <v>3</v>
      </c>
      <c r="G715" s="431">
        <v>1000</v>
      </c>
      <c r="H715" s="431">
        <v>10000</v>
      </c>
      <c r="I715" s="431" t="s">
        <v>778</v>
      </c>
      <c r="J715" s="432" t="s">
        <v>0</v>
      </c>
      <c r="K715" s="432">
        <v>-30</v>
      </c>
      <c r="L715" s="432">
        <v>70</v>
      </c>
      <c r="M715" s="436" t="s">
        <v>572</v>
      </c>
      <c r="N715" s="436">
        <v>65</v>
      </c>
      <c r="O715" s="431" t="s">
        <v>168</v>
      </c>
      <c r="P715" s="431" t="s">
        <v>168</v>
      </c>
      <c r="Q715" s="430">
        <f>C715*((100-Discounts!$B$54)/100)</f>
        <v>9.7000000000000011</v>
      </c>
      <c r="R715" t="str">
        <f>IF(ISNUMBER(Table3[[#This Row],[Thickness]]), "Zenith", "")</f>
        <v>Zenith</v>
      </c>
      <c r="S715">
        <v>3.5</v>
      </c>
      <c r="T715">
        <v>250</v>
      </c>
    </row>
    <row r="716" spans="1:20" x14ac:dyDescent="0.85">
      <c r="A716" s="433" t="s">
        <v>596</v>
      </c>
      <c r="B716" s="429" t="s">
        <v>595</v>
      </c>
      <c r="C716" s="434">
        <v>24.25</v>
      </c>
      <c r="D716" s="434"/>
      <c r="E716" s="430" t="s">
        <v>757</v>
      </c>
      <c r="F716" s="435">
        <v>3</v>
      </c>
      <c r="G716" s="435">
        <v>1200</v>
      </c>
      <c r="H716" s="435">
        <v>10000</v>
      </c>
      <c r="I716" s="431" t="s">
        <v>778</v>
      </c>
      <c r="J716" s="432" t="s">
        <v>0</v>
      </c>
      <c r="K716" s="432">
        <v>-30</v>
      </c>
      <c r="L716" s="432">
        <v>70</v>
      </c>
      <c r="M716" s="436" t="s">
        <v>572</v>
      </c>
      <c r="N716" s="436">
        <v>65</v>
      </c>
      <c r="O716" s="435" t="s">
        <v>168</v>
      </c>
      <c r="P716" s="435" t="s">
        <v>168</v>
      </c>
      <c r="Q716" s="434">
        <f>C716*((100-Discounts!$B$54)/100)</f>
        <v>9.7000000000000011</v>
      </c>
      <c r="R716" t="str">
        <f>IF(ISNUMBER(Table3[[#This Row],[Thickness]]), "Zenith", "")</f>
        <v>Zenith</v>
      </c>
      <c r="S716">
        <v>3.5</v>
      </c>
      <c r="T716">
        <v>250</v>
      </c>
    </row>
    <row r="717" spans="1:20" x14ac:dyDescent="0.85">
      <c r="A717" s="429" t="s">
        <v>596</v>
      </c>
      <c r="B717" s="429" t="s">
        <v>595</v>
      </c>
      <c r="C717" s="430">
        <v>24.25</v>
      </c>
      <c r="D717" s="430"/>
      <c r="E717" s="430" t="s">
        <v>757</v>
      </c>
      <c r="F717" s="431">
        <v>3</v>
      </c>
      <c r="G717" s="431">
        <v>1400</v>
      </c>
      <c r="H717" s="431">
        <v>10000</v>
      </c>
      <c r="I717" s="431" t="s">
        <v>778</v>
      </c>
      <c r="J717" s="432" t="s">
        <v>0</v>
      </c>
      <c r="K717" s="432">
        <v>-30</v>
      </c>
      <c r="L717" s="432">
        <v>70</v>
      </c>
      <c r="M717" s="436" t="s">
        <v>572</v>
      </c>
      <c r="N717" s="436">
        <v>65</v>
      </c>
      <c r="O717" s="431" t="s">
        <v>168</v>
      </c>
      <c r="P717" s="431" t="s">
        <v>168</v>
      </c>
      <c r="Q717" s="430">
        <f>C717*((100-Discounts!$B$54)/100)</f>
        <v>9.7000000000000011</v>
      </c>
      <c r="R717" t="str">
        <f>IF(ISNUMBER(Table3[[#This Row],[Thickness]]), "Zenith", "")</f>
        <v>Zenith</v>
      </c>
      <c r="S717">
        <v>3.5</v>
      </c>
      <c r="T717">
        <v>250</v>
      </c>
    </row>
    <row r="718" spans="1:20" ht="27" thickBot="1" x14ac:dyDescent="0.9">
      <c r="A718" s="410"/>
      <c r="B718" s="411"/>
      <c r="C718" s="412" t="s">
        <v>597</v>
      </c>
      <c r="D718" s="413"/>
      <c r="E718" s="413"/>
      <c r="F718" s="414" t="s">
        <v>609</v>
      </c>
      <c r="G718" s="414">
        <v>0</v>
      </c>
      <c r="H718" s="338">
        <v>0</v>
      </c>
      <c r="I718" s="217" t="s">
        <v>778</v>
      </c>
      <c r="M718" s="415"/>
      <c r="N718" s="343"/>
      <c r="O718" s="338"/>
      <c r="P718" s="338"/>
      <c r="Q718" s="412" t="s">
        <v>323</v>
      </c>
      <c r="R718" t="str">
        <f>IF(ISNUMBER(Table3[[#This Row],[Thickness]]), "Zenith", "")</f>
        <v/>
      </c>
    </row>
    <row r="719" spans="1:20" ht="54" thickTop="1" thickBot="1" x14ac:dyDescent="0.9">
      <c r="A719" s="156" t="s">
        <v>322</v>
      </c>
      <c r="B719" s="309"/>
      <c r="C719" s="287" t="s">
        <v>701</v>
      </c>
      <c r="D719" s="318"/>
      <c r="E719" s="318"/>
      <c r="F719" s="285" t="s">
        <v>320</v>
      </c>
      <c r="G719" s="285" t="e">
        <v>#VALUE!</v>
      </c>
      <c r="H719" s="286" t="e">
        <v>#VALUE!</v>
      </c>
      <c r="I719" s="217" t="s">
        <v>778</v>
      </c>
      <c r="M719" s="288"/>
      <c r="N719" s="230"/>
      <c r="O719" s="286" t="s">
        <v>171</v>
      </c>
      <c r="P719" s="286" t="s">
        <v>325</v>
      </c>
      <c r="Q719" s="287" t="s">
        <v>700</v>
      </c>
      <c r="R719" t="str">
        <f>IF(ISNUMBER(Table3[[#This Row],[Thickness]]), "Zenith", "")</f>
        <v/>
      </c>
    </row>
    <row r="720" spans="1:20" ht="27" thickTop="1" x14ac:dyDescent="0.85">
      <c r="A720" s="429" t="s">
        <v>600</v>
      </c>
      <c r="B720" s="429" t="s">
        <v>609</v>
      </c>
      <c r="C720" s="430">
        <v>2.75</v>
      </c>
      <c r="D720" s="430"/>
      <c r="E720" s="430" t="s">
        <v>758</v>
      </c>
      <c r="F720" s="431">
        <v>2.7</v>
      </c>
      <c r="G720" s="431">
        <v>200</v>
      </c>
      <c r="H720" s="431">
        <v>10000</v>
      </c>
      <c r="I720" s="431" t="s">
        <v>778</v>
      </c>
      <c r="J720" s="432" t="s">
        <v>0</v>
      </c>
      <c r="K720" s="432">
        <v>-30</v>
      </c>
      <c r="L720" s="432">
        <v>70</v>
      </c>
      <c r="M720" s="436" t="s">
        <v>577</v>
      </c>
      <c r="N720" s="436">
        <v>65</v>
      </c>
      <c r="O720" s="431" t="s">
        <v>168</v>
      </c>
      <c r="P720" s="431" t="s">
        <v>168</v>
      </c>
      <c r="Q720" s="430">
        <f>C720*((100-Discounts!$B$55)/100)</f>
        <v>1.1000000000000001</v>
      </c>
      <c r="R720" t="str">
        <f>IF(ISNUMBER(Table3[[#This Row],[Thickness]]), "Zenith", "")</f>
        <v>Zenith</v>
      </c>
      <c r="S720">
        <v>3.5</v>
      </c>
      <c r="T720">
        <v>250</v>
      </c>
    </row>
    <row r="721" spans="1:20" x14ac:dyDescent="0.85">
      <c r="A721" s="433" t="s">
        <v>601</v>
      </c>
      <c r="B721" s="429" t="s">
        <v>609</v>
      </c>
      <c r="C721" s="434">
        <v>4.25</v>
      </c>
      <c r="D721" s="434"/>
      <c r="E721" s="430" t="s">
        <v>758</v>
      </c>
      <c r="F721" s="435">
        <v>2.7</v>
      </c>
      <c r="G721" s="435">
        <v>300</v>
      </c>
      <c r="H721" s="435">
        <v>10000</v>
      </c>
      <c r="I721" s="431" t="s">
        <v>778</v>
      </c>
      <c r="J721" s="432" t="s">
        <v>0</v>
      </c>
      <c r="K721" s="432">
        <v>-30</v>
      </c>
      <c r="L721" s="432">
        <v>70</v>
      </c>
      <c r="M721" s="436" t="s">
        <v>577</v>
      </c>
      <c r="N721" s="436">
        <v>65</v>
      </c>
      <c r="O721" s="435" t="s">
        <v>168</v>
      </c>
      <c r="P721" s="435" t="s">
        <v>168</v>
      </c>
      <c r="Q721" s="434">
        <f>C721*((100-Discounts!$B$55)/100)</f>
        <v>1.7000000000000002</v>
      </c>
      <c r="R721" t="str">
        <f>IF(ISNUMBER(Table3[[#This Row],[Thickness]]), "Zenith", "")</f>
        <v>Zenith</v>
      </c>
      <c r="S721">
        <v>3.5</v>
      </c>
      <c r="T721">
        <v>250</v>
      </c>
    </row>
    <row r="722" spans="1:20" x14ac:dyDescent="0.85">
      <c r="A722" s="429" t="s">
        <v>602</v>
      </c>
      <c r="B722" s="429" t="s">
        <v>609</v>
      </c>
      <c r="C722" s="430">
        <v>5.75</v>
      </c>
      <c r="D722" s="430"/>
      <c r="E722" s="430" t="s">
        <v>758</v>
      </c>
      <c r="F722" s="431">
        <v>2.7</v>
      </c>
      <c r="G722" s="431">
        <v>400</v>
      </c>
      <c r="H722" s="431">
        <v>10000</v>
      </c>
      <c r="I722" s="431" t="s">
        <v>778</v>
      </c>
      <c r="J722" s="432" t="s">
        <v>0</v>
      </c>
      <c r="K722" s="432">
        <v>-30</v>
      </c>
      <c r="L722" s="432">
        <v>70</v>
      </c>
      <c r="M722" s="436" t="s">
        <v>577</v>
      </c>
      <c r="N722" s="436">
        <v>65</v>
      </c>
      <c r="O722" s="431" t="s">
        <v>168</v>
      </c>
      <c r="P722" s="431" t="s">
        <v>168</v>
      </c>
      <c r="Q722" s="430">
        <f>C722*((100-Discounts!$B$55)/100)</f>
        <v>2.3000000000000003</v>
      </c>
      <c r="R722" t="str">
        <f>IF(ISNUMBER(Table3[[#This Row],[Thickness]]), "Zenith", "")</f>
        <v>Zenith</v>
      </c>
      <c r="S722">
        <v>3.5</v>
      </c>
      <c r="T722">
        <v>250</v>
      </c>
    </row>
    <row r="723" spans="1:20" x14ac:dyDescent="0.85">
      <c r="A723" s="433" t="s">
        <v>603</v>
      </c>
      <c r="B723" s="429" t="s">
        <v>609</v>
      </c>
      <c r="C723" s="434">
        <v>7</v>
      </c>
      <c r="D723" s="434"/>
      <c r="E723" s="430" t="s">
        <v>758</v>
      </c>
      <c r="F723" s="435">
        <v>2.7</v>
      </c>
      <c r="G723" s="435">
        <v>500</v>
      </c>
      <c r="H723" s="435">
        <v>10000</v>
      </c>
      <c r="I723" s="431" t="s">
        <v>778</v>
      </c>
      <c r="J723" s="432" t="s">
        <v>0</v>
      </c>
      <c r="K723" s="432">
        <v>-30</v>
      </c>
      <c r="L723" s="432">
        <v>70</v>
      </c>
      <c r="M723" s="436" t="s">
        <v>577</v>
      </c>
      <c r="N723" s="436">
        <v>65</v>
      </c>
      <c r="O723" s="435" t="s">
        <v>168</v>
      </c>
      <c r="P723" s="435" t="s">
        <v>168</v>
      </c>
      <c r="Q723" s="434">
        <f>C723*((100-Discounts!$B$55)/100)</f>
        <v>2.8000000000000003</v>
      </c>
      <c r="R723" t="str">
        <f>IF(ISNUMBER(Table3[[#This Row],[Thickness]]), "Zenith", "")</f>
        <v>Zenith</v>
      </c>
      <c r="S723">
        <v>3.5</v>
      </c>
      <c r="T723">
        <v>250</v>
      </c>
    </row>
    <row r="724" spans="1:20" x14ac:dyDescent="0.85">
      <c r="A724" s="429" t="s">
        <v>604</v>
      </c>
      <c r="B724" s="429" t="s">
        <v>609</v>
      </c>
      <c r="C724" s="430">
        <v>8.5</v>
      </c>
      <c r="D724" s="430"/>
      <c r="E724" s="430" t="s">
        <v>758</v>
      </c>
      <c r="F724" s="431">
        <v>2.7</v>
      </c>
      <c r="G724" s="431">
        <v>600</v>
      </c>
      <c r="H724" s="431">
        <v>10000</v>
      </c>
      <c r="I724" s="431" t="s">
        <v>778</v>
      </c>
      <c r="J724" s="432" t="s">
        <v>0</v>
      </c>
      <c r="K724" s="432">
        <v>-30</v>
      </c>
      <c r="L724" s="432">
        <v>70</v>
      </c>
      <c r="M724" s="436" t="s">
        <v>577</v>
      </c>
      <c r="N724" s="436">
        <v>65</v>
      </c>
      <c r="O724" s="431" t="s">
        <v>168</v>
      </c>
      <c r="P724" s="431" t="s">
        <v>168</v>
      </c>
      <c r="Q724" s="430">
        <f>C724*((100-Discounts!$B$55)/100)</f>
        <v>3.4000000000000004</v>
      </c>
      <c r="R724" t="str">
        <f>IF(ISNUMBER(Table3[[#This Row],[Thickness]]), "Zenith", "")</f>
        <v>Zenith</v>
      </c>
      <c r="S724">
        <v>3.5</v>
      </c>
      <c r="T724">
        <v>250</v>
      </c>
    </row>
    <row r="725" spans="1:20" x14ac:dyDescent="0.85">
      <c r="A725" s="433" t="s">
        <v>605</v>
      </c>
      <c r="B725" s="429" t="s">
        <v>609</v>
      </c>
      <c r="C725" s="434">
        <v>10</v>
      </c>
      <c r="D725" s="434"/>
      <c r="E725" s="430" t="s">
        <v>758</v>
      </c>
      <c r="F725" s="435">
        <v>2.7</v>
      </c>
      <c r="G725" s="435">
        <v>700</v>
      </c>
      <c r="H725" s="435">
        <v>10000</v>
      </c>
      <c r="I725" s="431" t="s">
        <v>778</v>
      </c>
      <c r="J725" s="432" t="s">
        <v>0</v>
      </c>
      <c r="K725" s="432">
        <v>-30</v>
      </c>
      <c r="L725" s="432">
        <v>70</v>
      </c>
      <c r="M725" s="436" t="s">
        <v>577</v>
      </c>
      <c r="N725" s="436">
        <v>65</v>
      </c>
      <c r="O725" s="435" t="s">
        <v>168</v>
      </c>
      <c r="P725" s="435" t="s">
        <v>168</v>
      </c>
      <c r="Q725" s="434">
        <f>C725*((100-Discounts!$B$55)/100)</f>
        <v>4</v>
      </c>
      <c r="R725" t="str">
        <f>IF(ISNUMBER(Table3[[#This Row],[Thickness]]), "Zenith", "")</f>
        <v>Zenith</v>
      </c>
      <c r="S725">
        <v>3.5</v>
      </c>
      <c r="T725">
        <v>250</v>
      </c>
    </row>
    <row r="726" spans="1:20" x14ac:dyDescent="0.85">
      <c r="A726" s="429" t="s">
        <v>606</v>
      </c>
      <c r="B726" s="429" t="s">
        <v>609</v>
      </c>
      <c r="C726" s="430">
        <v>11.25</v>
      </c>
      <c r="D726" s="430"/>
      <c r="E726" s="430" t="s">
        <v>758</v>
      </c>
      <c r="F726" s="431">
        <v>2.7</v>
      </c>
      <c r="G726" s="431">
        <v>800</v>
      </c>
      <c r="H726" s="431">
        <v>10000</v>
      </c>
      <c r="I726" s="431" t="s">
        <v>778</v>
      </c>
      <c r="J726" s="432" t="s">
        <v>0</v>
      </c>
      <c r="K726" s="432">
        <v>-30</v>
      </c>
      <c r="L726" s="432">
        <v>70</v>
      </c>
      <c r="M726" s="436" t="s">
        <v>577</v>
      </c>
      <c r="N726" s="436">
        <v>65</v>
      </c>
      <c r="O726" s="431" t="s">
        <v>168</v>
      </c>
      <c r="P726" s="431" t="s">
        <v>168</v>
      </c>
      <c r="Q726" s="430">
        <f>C726*((100-Discounts!$B$55)/100)</f>
        <v>4.5</v>
      </c>
      <c r="R726" t="str">
        <f>IF(ISNUMBER(Table3[[#This Row],[Thickness]]), "Zenith", "")</f>
        <v>Zenith</v>
      </c>
      <c r="S726">
        <v>3.5</v>
      </c>
      <c r="T726">
        <v>250</v>
      </c>
    </row>
    <row r="727" spans="1:20" x14ac:dyDescent="0.85">
      <c r="A727" s="433" t="s">
        <v>607</v>
      </c>
      <c r="B727" s="429" t="s">
        <v>609</v>
      </c>
      <c r="C727" s="434">
        <v>12.75</v>
      </c>
      <c r="D727" s="434"/>
      <c r="E727" s="430" t="s">
        <v>758</v>
      </c>
      <c r="F727" s="435">
        <v>2.7</v>
      </c>
      <c r="G727" s="435">
        <v>900</v>
      </c>
      <c r="H727" s="435">
        <v>10000</v>
      </c>
      <c r="I727" s="431" t="s">
        <v>778</v>
      </c>
      <c r="J727" s="432" t="s">
        <v>0</v>
      </c>
      <c r="K727" s="432">
        <v>-30</v>
      </c>
      <c r="L727" s="432">
        <v>70</v>
      </c>
      <c r="M727" s="436" t="s">
        <v>577</v>
      </c>
      <c r="N727" s="436">
        <v>65</v>
      </c>
      <c r="O727" s="435" t="s">
        <v>168</v>
      </c>
      <c r="P727" s="435" t="s">
        <v>168</v>
      </c>
      <c r="Q727" s="434">
        <f>C727*((100-Discounts!$B$55)/100)</f>
        <v>5.1000000000000005</v>
      </c>
      <c r="R727" t="str">
        <f>IF(ISNUMBER(Table3[[#This Row],[Thickness]]), "Zenith", "")</f>
        <v>Zenith</v>
      </c>
      <c r="S727">
        <v>3.5</v>
      </c>
      <c r="T727">
        <v>250</v>
      </c>
    </row>
    <row r="728" spans="1:20" ht="27" thickBot="1" x14ac:dyDescent="0.9">
      <c r="A728" s="410"/>
      <c r="B728" s="411"/>
      <c r="C728" s="412" t="s">
        <v>597</v>
      </c>
      <c r="D728" s="413"/>
      <c r="E728" s="413"/>
      <c r="F728" s="414" t="s">
        <v>609</v>
      </c>
      <c r="G728" s="414">
        <v>0</v>
      </c>
      <c r="H728" s="338">
        <v>0</v>
      </c>
      <c r="I728" s="217" t="s">
        <v>778</v>
      </c>
      <c r="M728" s="415"/>
      <c r="N728" s="343"/>
      <c r="O728" s="338"/>
      <c r="P728" s="338"/>
      <c r="Q728" s="412" t="s">
        <v>323</v>
      </c>
      <c r="R728" t="str">
        <f>IF(ISNUMBER(Table3[[#This Row],[Thickness]]), "Zenith", "")</f>
        <v/>
      </c>
    </row>
    <row r="729" spans="1:20" ht="54" thickTop="1" thickBot="1" x14ac:dyDescent="0.9">
      <c r="A729" s="156" t="s">
        <v>322</v>
      </c>
      <c r="B729" s="309"/>
      <c r="C729" s="287" t="s">
        <v>179</v>
      </c>
      <c r="D729" s="318"/>
      <c r="E729" s="318"/>
      <c r="F729" s="285" t="s">
        <v>320</v>
      </c>
      <c r="G729" s="285" t="e">
        <v>#VALUE!</v>
      </c>
      <c r="H729" s="286" t="e">
        <v>#VALUE!</v>
      </c>
      <c r="I729" s="217" t="s">
        <v>778</v>
      </c>
      <c r="M729" s="288"/>
      <c r="N729" s="230"/>
      <c r="O729" s="286" t="s">
        <v>171</v>
      </c>
      <c r="P729" s="286" t="s">
        <v>325</v>
      </c>
      <c r="Q729" s="287" t="s">
        <v>199</v>
      </c>
      <c r="R729" t="str">
        <f>IF(ISNUMBER(Table3[[#This Row],[Thickness]]), "Zenith", "")</f>
        <v/>
      </c>
    </row>
    <row r="730" spans="1:20" ht="27" thickTop="1" x14ac:dyDescent="0.85">
      <c r="A730" s="429" t="s">
        <v>608</v>
      </c>
      <c r="B730" s="429" t="s">
        <v>609</v>
      </c>
      <c r="C730" s="430">
        <v>13.5</v>
      </c>
      <c r="D730" s="430"/>
      <c r="E730" s="430" t="s">
        <v>757</v>
      </c>
      <c r="F730" s="431">
        <v>2.7</v>
      </c>
      <c r="G730" s="431">
        <v>1000</v>
      </c>
      <c r="H730" s="431">
        <v>10000</v>
      </c>
      <c r="I730" s="431" t="s">
        <v>778</v>
      </c>
      <c r="J730" s="432" t="s">
        <v>0</v>
      </c>
      <c r="K730" s="432">
        <v>-30</v>
      </c>
      <c r="L730" s="432">
        <v>70</v>
      </c>
      <c r="M730" s="436" t="s">
        <v>577</v>
      </c>
      <c r="N730" s="436">
        <v>65</v>
      </c>
      <c r="O730" s="431" t="s">
        <v>168</v>
      </c>
      <c r="P730" s="431" t="s">
        <v>168</v>
      </c>
      <c r="Q730" s="430">
        <f>C730*((100-Discounts!$B$55)/100)</f>
        <v>5.4</v>
      </c>
      <c r="R730" t="str">
        <f>IF(ISNUMBER(Table3[[#This Row],[Thickness]]), "Zenith", "")</f>
        <v>Zenith</v>
      </c>
      <c r="S730">
        <v>3.5</v>
      </c>
      <c r="T730">
        <v>250</v>
      </c>
    </row>
    <row r="731" spans="1:20" x14ac:dyDescent="0.85">
      <c r="A731" s="433" t="s">
        <v>608</v>
      </c>
      <c r="B731" s="429" t="s">
        <v>609</v>
      </c>
      <c r="C731" s="434">
        <v>13.5</v>
      </c>
      <c r="D731" s="434"/>
      <c r="E731" s="430" t="s">
        <v>757</v>
      </c>
      <c r="F731" s="435">
        <v>2.7</v>
      </c>
      <c r="G731" s="435">
        <v>1200</v>
      </c>
      <c r="H731" s="435">
        <v>10000</v>
      </c>
      <c r="I731" s="431" t="s">
        <v>778</v>
      </c>
      <c r="J731" s="432" t="s">
        <v>0</v>
      </c>
      <c r="K731" s="432">
        <v>-30</v>
      </c>
      <c r="L731" s="432">
        <v>70</v>
      </c>
      <c r="M731" s="436" t="s">
        <v>577</v>
      </c>
      <c r="N731" s="436">
        <v>65</v>
      </c>
      <c r="O731" s="435" t="s">
        <v>168</v>
      </c>
      <c r="P731" s="435" t="s">
        <v>168</v>
      </c>
      <c r="Q731" s="434">
        <f>C731*((100-Discounts!$B$55)/100)</f>
        <v>5.4</v>
      </c>
      <c r="R731" t="str">
        <f>IF(ISNUMBER(Table3[[#This Row],[Thickness]]), "Zenith", "")</f>
        <v>Zenith</v>
      </c>
      <c r="S731">
        <v>3.5</v>
      </c>
      <c r="T731">
        <v>250</v>
      </c>
    </row>
    <row r="732" spans="1:20" x14ac:dyDescent="0.85">
      <c r="A732" s="429" t="s">
        <v>608</v>
      </c>
      <c r="B732" s="429" t="s">
        <v>609</v>
      </c>
      <c r="C732" s="430">
        <v>13.5</v>
      </c>
      <c r="D732" s="430"/>
      <c r="E732" s="430" t="s">
        <v>757</v>
      </c>
      <c r="F732" s="431">
        <v>2.7</v>
      </c>
      <c r="G732" s="431">
        <v>1400</v>
      </c>
      <c r="H732" s="431">
        <v>10000</v>
      </c>
      <c r="I732" s="431" t="s">
        <v>778</v>
      </c>
      <c r="J732" s="432" t="s">
        <v>0</v>
      </c>
      <c r="K732" s="432">
        <v>-30</v>
      </c>
      <c r="L732" s="432">
        <v>70</v>
      </c>
      <c r="M732" s="436" t="s">
        <v>577</v>
      </c>
      <c r="N732" s="436">
        <v>65</v>
      </c>
      <c r="O732" s="431" t="s">
        <v>168</v>
      </c>
      <c r="P732" s="431" t="s">
        <v>168</v>
      </c>
      <c r="Q732" s="430">
        <f>C732*((100-Discounts!$B$55)/100)</f>
        <v>5.4</v>
      </c>
      <c r="R732" t="str">
        <f>IF(ISNUMBER(Table3[[#This Row],[Thickness]]), "Zenith", "")</f>
        <v>Zenith</v>
      </c>
      <c r="S732">
        <v>3.5</v>
      </c>
      <c r="T732">
        <v>250</v>
      </c>
    </row>
    <row r="733" spans="1:20" x14ac:dyDescent="0.85">
      <c r="A733" s="433" t="s">
        <v>608</v>
      </c>
      <c r="B733" s="429" t="s">
        <v>609</v>
      </c>
      <c r="C733" s="434">
        <v>13.5</v>
      </c>
      <c r="D733" s="434"/>
      <c r="E733" s="430" t="s">
        <v>757</v>
      </c>
      <c r="F733" s="435">
        <v>2.7</v>
      </c>
      <c r="G733" s="435">
        <v>1500</v>
      </c>
      <c r="H733" s="435">
        <v>10000</v>
      </c>
      <c r="I733" s="431" t="s">
        <v>778</v>
      </c>
      <c r="J733" s="432" t="s">
        <v>0</v>
      </c>
      <c r="K733" s="432">
        <v>-30</v>
      </c>
      <c r="L733" s="432">
        <v>70</v>
      </c>
      <c r="M733" s="436" t="s">
        <v>577</v>
      </c>
      <c r="N733" s="436">
        <v>65</v>
      </c>
      <c r="O733" s="435" t="s">
        <v>168</v>
      </c>
      <c r="P733" s="435" t="s">
        <v>168</v>
      </c>
      <c r="Q733" s="434">
        <f>C733*((100-Discounts!$B$55)/100)</f>
        <v>5.4</v>
      </c>
      <c r="R733" t="str">
        <f>IF(ISNUMBER(Table3[[#This Row],[Thickness]]), "Zenith", "")</f>
        <v>Zenith</v>
      </c>
      <c r="S733">
        <v>3.5</v>
      </c>
      <c r="T733">
        <v>250</v>
      </c>
    </row>
    <row r="734" spans="1:20" ht="27" thickBot="1" x14ac:dyDescent="0.9">
      <c r="A734" s="410"/>
      <c r="B734" s="411"/>
      <c r="C734" s="412" t="s">
        <v>597</v>
      </c>
      <c r="D734" s="413"/>
      <c r="E734" s="413"/>
      <c r="F734" s="414" t="s">
        <v>599</v>
      </c>
      <c r="G734" s="414">
        <v>0</v>
      </c>
      <c r="H734" s="338">
        <v>0</v>
      </c>
      <c r="I734" s="217" t="s">
        <v>778</v>
      </c>
      <c r="M734" s="415"/>
      <c r="N734" s="343"/>
      <c r="O734" s="338"/>
      <c r="P734" s="338"/>
      <c r="Q734" s="412" t="s">
        <v>323</v>
      </c>
      <c r="R734" t="str">
        <f>IF(ISNUMBER(Table3[[#This Row],[Thickness]]), "Zenith", "")</f>
        <v/>
      </c>
    </row>
    <row r="735" spans="1:20" ht="54" thickTop="1" thickBot="1" x14ac:dyDescent="0.9">
      <c r="A735" s="156" t="s">
        <v>322</v>
      </c>
      <c r="B735" s="309"/>
      <c r="C735" s="287" t="s">
        <v>179</v>
      </c>
      <c r="D735" s="318"/>
      <c r="E735" s="318"/>
      <c r="F735" s="285" t="s">
        <v>320</v>
      </c>
      <c r="G735" s="285" t="e">
        <v>#VALUE!</v>
      </c>
      <c r="H735" s="286" t="e">
        <v>#VALUE!</v>
      </c>
      <c r="I735" s="217" t="s">
        <v>778</v>
      </c>
      <c r="M735" s="288"/>
      <c r="N735" s="230"/>
      <c r="O735" s="286" t="s">
        <v>171</v>
      </c>
      <c r="P735" s="286" t="s">
        <v>325</v>
      </c>
      <c r="Q735" s="287" t="s">
        <v>199</v>
      </c>
      <c r="R735" t="str">
        <f>IF(ISNUMBER(Table3[[#This Row],[Thickness]]), "Zenith", "")</f>
        <v/>
      </c>
    </row>
    <row r="736" spans="1:20" ht="27" thickTop="1" x14ac:dyDescent="0.85">
      <c r="A736" s="429" t="s">
        <v>598</v>
      </c>
      <c r="B736" s="429" t="s">
        <v>599</v>
      </c>
      <c r="C736" s="430">
        <v>21.5</v>
      </c>
      <c r="D736" s="430"/>
      <c r="E736" s="430" t="s">
        <v>757</v>
      </c>
      <c r="F736" s="431">
        <v>3</v>
      </c>
      <c r="G736" s="431">
        <v>1000</v>
      </c>
      <c r="H736" s="431">
        <v>10000</v>
      </c>
      <c r="I736" s="431" t="s">
        <v>778</v>
      </c>
      <c r="J736" s="432" t="s">
        <v>1</v>
      </c>
      <c r="K736" s="432">
        <v>-30</v>
      </c>
      <c r="L736" s="432">
        <v>90</v>
      </c>
      <c r="M736" s="436" t="s">
        <v>577</v>
      </c>
      <c r="N736" s="436">
        <v>70</v>
      </c>
      <c r="O736" s="431" t="s">
        <v>168</v>
      </c>
      <c r="P736" s="431" t="s">
        <v>168</v>
      </c>
      <c r="Q736" s="430">
        <f>C736*((100-Discounts!$B$56)/100)</f>
        <v>8.6</v>
      </c>
      <c r="R736" t="str">
        <f>IF(ISNUMBER(Table3[[#This Row],[Thickness]]), "Zenith", "")</f>
        <v>Zenith</v>
      </c>
      <c r="S736">
        <v>4</v>
      </c>
      <c r="T736">
        <v>200</v>
      </c>
    </row>
    <row r="737" spans="1:20" x14ac:dyDescent="0.85">
      <c r="A737" s="433" t="s">
        <v>598</v>
      </c>
      <c r="B737" s="429" t="s">
        <v>599</v>
      </c>
      <c r="C737" s="434">
        <v>21.5</v>
      </c>
      <c r="D737" s="434"/>
      <c r="E737" s="430" t="s">
        <v>757</v>
      </c>
      <c r="F737" s="435">
        <v>3</v>
      </c>
      <c r="G737" s="435">
        <v>1200</v>
      </c>
      <c r="H737" s="435">
        <v>10000</v>
      </c>
      <c r="I737" s="431" t="s">
        <v>778</v>
      </c>
      <c r="J737" s="432" t="s">
        <v>1</v>
      </c>
      <c r="K737" s="432">
        <v>-30</v>
      </c>
      <c r="L737" s="432">
        <v>90</v>
      </c>
      <c r="M737" s="436" t="s">
        <v>577</v>
      </c>
      <c r="N737" s="436">
        <v>70</v>
      </c>
      <c r="O737" s="435" t="s">
        <v>168</v>
      </c>
      <c r="P737" s="435" t="s">
        <v>168</v>
      </c>
      <c r="Q737" s="434">
        <f>C737*((100-Discounts!$B$56)/100)</f>
        <v>8.6</v>
      </c>
      <c r="R737" t="str">
        <f>IF(ISNUMBER(Table3[[#This Row],[Thickness]]), "Zenith", "")</f>
        <v>Zenith</v>
      </c>
      <c r="S737">
        <v>4</v>
      </c>
      <c r="T737">
        <v>200</v>
      </c>
    </row>
    <row r="738" spans="1:20" ht="27" thickBot="1" x14ac:dyDescent="0.9">
      <c r="A738" s="410"/>
      <c r="B738" s="411"/>
      <c r="C738" s="412" t="s">
        <v>597</v>
      </c>
      <c r="D738" s="413"/>
      <c r="E738" s="413"/>
      <c r="F738" s="414" t="s">
        <v>610</v>
      </c>
      <c r="G738" s="414">
        <v>0</v>
      </c>
      <c r="H738" s="338">
        <v>0</v>
      </c>
      <c r="I738" s="217" t="s">
        <v>778</v>
      </c>
      <c r="M738" s="415"/>
      <c r="N738" s="343"/>
      <c r="O738" s="338"/>
      <c r="P738" s="338"/>
      <c r="Q738" s="412" t="s">
        <v>323</v>
      </c>
      <c r="R738" t="str">
        <f>IF(ISNUMBER(Table3[[#This Row],[Thickness]]), "Zenith", "")</f>
        <v/>
      </c>
    </row>
    <row r="739" spans="1:20" ht="54" thickTop="1" thickBot="1" x14ac:dyDescent="0.9">
      <c r="A739" s="156" t="s">
        <v>322</v>
      </c>
      <c r="B739" s="309"/>
      <c r="C739" s="287" t="s">
        <v>179</v>
      </c>
      <c r="D739" s="318"/>
      <c r="E739" s="318"/>
      <c r="F739" s="285" t="s">
        <v>320</v>
      </c>
      <c r="G739" s="285" t="e">
        <v>#VALUE!</v>
      </c>
      <c r="H739" s="286" t="e">
        <v>#VALUE!</v>
      </c>
      <c r="I739" s="217" t="s">
        <v>778</v>
      </c>
      <c r="M739" s="288"/>
      <c r="N739" s="230"/>
      <c r="O739" s="286" t="s">
        <v>171</v>
      </c>
      <c r="P739" s="286" t="s">
        <v>325</v>
      </c>
      <c r="Q739" s="287" t="s">
        <v>199</v>
      </c>
      <c r="R739" t="str">
        <f>IF(ISNUMBER(Table3[[#This Row],[Thickness]]), "Zenith", "")</f>
        <v/>
      </c>
    </row>
    <row r="740" spans="1:20" ht="27" thickTop="1" x14ac:dyDescent="0.85">
      <c r="A740" s="429" t="s">
        <v>611</v>
      </c>
      <c r="B740" s="429" t="s">
        <v>610</v>
      </c>
      <c r="C740" s="430">
        <v>11.5</v>
      </c>
      <c r="D740" s="430"/>
      <c r="E740" s="430" t="s">
        <v>757</v>
      </c>
      <c r="F740" s="431">
        <v>2.5</v>
      </c>
      <c r="G740" s="431">
        <v>1000</v>
      </c>
      <c r="H740" s="431">
        <v>10000</v>
      </c>
      <c r="I740" s="431" t="s">
        <v>778</v>
      </c>
      <c r="J740" s="432" t="s">
        <v>0</v>
      </c>
      <c r="K740" s="432">
        <v>-30</v>
      </c>
      <c r="L740" s="432">
        <v>70</v>
      </c>
      <c r="M740" s="436" t="s">
        <v>577</v>
      </c>
      <c r="N740" s="436">
        <v>65</v>
      </c>
      <c r="O740" s="431" t="s">
        <v>168</v>
      </c>
      <c r="P740" s="431" t="s">
        <v>168</v>
      </c>
      <c r="Q740" s="430">
        <f>C740*((100-Discounts!$B$57)/100)</f>
        <v>4.6000000000000005</v>
      </c>
      <c r="R740" t="str">
        <f>IF(ISNUMBER(Table3[[#This Row],[Thickness]]), "Zenith", "")</f>
        <v>Zenith</v>
      </c>
      <c r="S740">
        <v>3.5</v>
      </c>
      <c r="T740">
        <v>250</v>
      </c>
    </row>
    <row r="741" spans="1:20" x14ac:dyDescent="0.85">
      <c r="A741" s="433" t="s">
        <v>611</v>
      </c>
      <c r="B741" s="429" t="s">
        <v>610</v>
      </c>
      <c r="C741" s="434">
        <v>11.5</v>
      </c>
      <c r="D741" s="434"/>
      <c r="E741" s="430" t="s">
        <v>757</v>
      </c>
      <c r="F741" s="435">
        <v>2.5</v>
      </c>
      <c r="G741" s="435">
        <v>1200</v>
      </c>
      <c r="H741" s="435">
        <v>10000</v>
      </c>
      <c r="I741" s="431" t="s">
        <v>778</v>
      </c>
      <c r="J741" s="432" t="s">
        <v>0</v>
      </c>
      <c r="K741" s="432">
        <v>-30</v>
      </c>
      <c r="L741" s="432">
        <v>70</v>
      </c>
      <c r="M741" s="436" t="s">
        <v>577</v>
      </c>
      <c r="N741" s="436">
        <v>65</v>
      </c>
      <c r="O741" s="435" t="s">
        <v>168</v>
      </c>
      <c r="P741" s="435" t="s">
        <v>168</v>
      </c>
      <c r="Q741" s="434">
        <f>C741*((100-Discounts!$B$57)/100)</f>
        <v>4.6000000000000005</v>
      </c>
      <c r="R741" t="str">
        <f>IF(ISNUMBER(Table3[[#This Row],[Thickness]]), "Zenith", "")</f>
        <v>Zenith</v>
      </c>
      <c r="S741">
        <v>3.5</v>
      </c>
      <c r="T741">
        <v>250</v>
      </c>
    </row>
    <row r="742" spans="1:20" ht="27" thickBot="1" x14ac:dyDescent="0.9">
      <c r="A742" s="410"/>
      <c r="B742" s="411"/>
      <c r="C742" s="412" t="s">
        <v>597</v>
      </c>
      <c r="D742" s="413"/>
      <c r="E742" s="413"/>
      <c r="F742" s="414" t="s">
        <v>169</v>
      </c>
      <c r="G742" s="414">
        <v>0</v>
      </c>
      <c r="H742" s="338">
        <v>0</v>
      </c>
      <c r="I742" s="217" t="s">
        <v>778</v>
      </c>
      <c r="M742" s="415"/>
      <c r="N742" s="343"/>
      <c r="O742" s="338"/>
      <c r="P742" s="338"/>
      <c r="Q742" s="412" t="s">
        <v>323</v>
      </c>
      <c r="R742" t="str">
        <f>IF(ISNUMBER(Table3[[#This Row],[Thickness]]), "Zenith", "")</f>
        <v/>
      </c>
    </row>
    <row r="743" spans="1:20" ht="54" thickTop="1" thickBot="1" x14ac:dyDescent="0.9">
      <c r="A743" s="156" t="s">
        <v>322</v>
      </c>
      <c r="B743" s="309"/>
      <c r="C743" s="287" t="s">
        <v>179</v>
      </c>
      <c r="D743" s="318"/>
      <c r="E743" s="318"/>
      <c r="F743" s="285" t="s">
        <v>320</v>
      </c>
      <c r="G743" s="285" t="e">
        <v>#VALUE!</v>
      </c>
      <c r="H743" s="286" t="e">
        <v>#VALUE!</v>
      </c>
      <c r="I743" s="217" t="s">
        <v>778</v>
      </c>
      <c r="M743" s="288"/>
      <c r="N743" s="230"/>
      <c r="O743" s="286" t="s">
        <v>171</v>
      </c>
      <c r="P743" s="286" t="s">
        <v>325</v>
      </c>
      <c r="Q743" s="287" t="s">
        <v>199</v>
      </c>
      <c r="R743" t="str">
        <f>IF(ISNUMBER(Table3[[#This Row],[Thickness]]), "Zenith", "")</f>
        <v/>
      </c>
    </row>
    <row r="744" spans="1:20" ht="27" thickTop="1" x14ac:dyDescent="0.85">
      <c r="A744" s="429" t="s">
        <v>612</v>
      </c>
      <c r="B744" s="429" t="s">
        <v>169</v>
      </c>
      <c r="C744" s="430">
        <v>16.25</v>
      </c>
      <c r="D744" s="430"/>
      <c r="E744" s="430" t="s">
        <v>757</v>
      </c>
      <c r="F744" s="431">
        <v>3</v>
      </c>
      <c r="G744" s="431">
        <v>1000</v>
      </c>
      <c r="H744" s="431">
        <v>10000</v>
      </c>
      <c r="I744" s="431" t="s">
        <v>778</v>
      </c>
      <c r="J744" s="432" t="s">
        <v>0</v>
      </c>
      <c r="K744" s="432">
        <v>-30</v>
      </c>
      <c r="L744" s="432">
        <v>70</v>
      </c>
      <c r="M744" s="436" t="s">
        <v>577</v>
      </c>
      <c r="N744" s="436">
        <v>65</v>
      </c>
      <c r="O744" s="431" t="s">
        <v>168</v>
      </c>
      <c r="P744" s="431" t="s">
        <v>168</v>
      </c>
      <c r="Q744" s="430">
        <f>C744*((100-Discounts!$B$58)/100)</f>
        <v>6.5</v>
      </c>
      <c r="R744" t="str">
        <f>IF(ISNUMBER(Table3[[#This Row],[Thickness]]), "Zenith", "")</f>
        <v>Zenith</v>
      </c>
      <c r="S744">
        <v>3.5</v>
      </c>
      <c r="T744">
        <v>250</v>
      </c>
    </row>
    <row r="745" spans="1:20" x14ac:dyDescent="0.85">
      <c r="A745" s="433" t="s">
        <v>612</v>
      </c>
      <c r="B745" s="429" t="s">
        <v>169</v>
      </c>
      <c r="C745" s="434">
        <v>16.25</v>
      </c>
      <c r="D745" s="434"/>
      <c r="E745" s="430" t="s">
        <v>757</v>
      </c>
      <c r="F745" s="435">
        <v>3</v>
      </c>
      <c r="G745" s="435">
        <v>1200</v>
      </c>
      <c r="H745" s="435">
        <v>10000</v>
      </c>
      <c r="I745" s="431" t="s">
        <v>778</v>
      </c>
      <c r="J745" s="432" t="s">
        <v>0</v>
      </c>
      <c r="K745" s="432">
        <v>-30</v>
      </c>
      <c r="L745" s="432">
        <v>70</v>
      </c>
      <c r="M745" s="436" t="s">
        <v>577</v>
      </c>
      <c r="N745" s="436">
        <v>65</v>
      </c>
      <c r="O745" s="435" t="s">
        <v>168</v>
      </c>
      <c r="P745" s="435" t="s">
        <v>168</v>
      </c>
      <c r="Q745" s="434">
        <f>C745*((100-Discounts!$B$58)/100)</f>
        <v>6.5</v>
      </c>
      <c r="R745" t="str">
        <f>IF(ISNUMBER(Table3[[#This Row],[Thickness]]), "Zenith", "")</f>
        <v>Zenith</v>
      </c>
      <c r="S745">
        <v>3.5</v>
      </c>
      <c r="T745">
        <v>250</v>
      </c>
    </row>
    <row r="746" spans="1:20" x14ac:dyDescent="0.85">
      <c r="A746" s="429" t="s">
        <v>612</v>
      </c>
      <c r="B746" s="429" t="s">
        <v>169</v>
      </c>
      <c r="C746" s="430">
        <v>16.25</v>
      </c>
      <c r="D746" s="430"/>
      <c r="E746" s="430" t="s">
        <v>757</v>
      </c>
      <c r="F746" s="431">
        <v>3</v>
      </c>
      <c r="G746" s="431">
        <v>1400</v>
      </c>
      <c r="H746" s="431">
        <v>10000</v>
      </c>
      <c r="I746" s="431" t="s">
        <v>778</v>
      </c>
      <c r="J746" s="432" t="s">
        <v>0</v>
      </c>
      <c r="K746" s="432">
        <v>-30</v>
      </c>
      <c r="L746" s="432">
        <v>70</v>
      </c>
      <c r="M746" s="436" t="s">
        <v>577</v>
      </c>
      <c r="N746" s="436">
        <v>65</v>
      </c>
      <c r="O746" s="431" t="s">
        <v>168</v>
      </c>
      <c r="P746" s="431" t="s">
        <v>168</v>
      </c>
      <c r="Q746" s="430">
        <f>C746*((100-Discounts!$B$58)/100)</f>
        <v>6.5</v>
      </c>
      <c r="R746" t="str">
        <f>IF(ISNUMBER(Table3[[#This Row],[Thickness]]), "Zenith", "")</f>
        <v>Zenith</v>
      </c>
      <c r="S746">
        <v>3.5</v>
      </c>
      <c r="T746">
        <v>250</v>
      </c>
    </row>
    <row r="747" spans="1:20" x14ac:dyDescent="0.85">
      <c r="A747" s="433" t="s">
        <v>612</v>
      </c>
      <c r="B747" s="429" t="s">
        <v>169</v>
      </c>
      <c r="C747" s="434">
        <v>16.25</v>
      </c>
      <c r="D747" s="434"/>
      <c r="E747" s="430" t="s">
        <v>757</v>
      </c>
      <c r="F747" s="435">
        <v>3</v>
      </c>
      <c r="G747" s="435">
        <v>1600</v>
      </c>
      <c r="H747" s="435">
        <v>10000</v>
      </c>
      <c r="I747" s="431" t="s">
        <v>778</v>
      </c>
      <c r="J747" s="432" t="s">
        <v>0</v>
      </c>
      <c r="K747" s="432">
        <v>-30</v>
      </c>
      <c r="L747" s="432">
        <v>70</v>
      </c>
      <c r="M747" s="436" t="s">
        <v>577</v>
      </c>
      <c r="N747" s="436">
        <v>65</v>
      </c>
      <c r="O747" s="435" t="s">
        <v>168</v>
      </c>
      <c r="P747" s="435" t="s">
        <v>168</v>
      </c>
      <c r="Q747" s="434">
        <f>C747*((100-Discounts!$B$58)/100)</f>
        <v>6.5</v>
      </c>
      <c r="R747" t="str">
        <f>IF(ISNUMBER(Table3[[#This Row],[Thickness]]), "Zenith", "")</f>
        <v>Zenith</v>
      </c>
      <c r="S747">
        <v>3.5</v>
      </c>
      <c r="T747">
        <v>250</v>
      </c>
    </row>
    <row r="748" spans="1:20" ht="27" thickBot="1" x14ac:dyDescent="0.9">
      <c r="A748" s="410"/>
      <c r="B748" s="411"/>
      <c r="C748" s="412" t="s">
        <v>597</v>
      </c>
      <c r="D748" s="413"/>
      <c r="E748" s="413"/>
      <c r="F748" s="414" t="s">
        <v>613</v>
      </c>
      <c r="G748" s="414">
        <v>0</v>
      </c>
      <c r="H748" s="338">
        <v>0</v>
      </c>
      <c r="I748" s="217" t="s">
        <v>778</v>
      </c>
      <c r="M748" s="415"/>
      <c r="N748" s="343"/>
      <c r="O748" s="338"/>
      <c r="P748" s="338"/>
      <c r="Q748" s="412" t="s">
        <v>323</v>
      </c>
      <c r="R748" t="str">
        <f>IF(ISNUMBER(Table3[[#This Row],[Thickness]]), "Zenith", "")</f>
        <v/>
      </c>
    </row>
    <row r="749" spans="1:20" ht="54" thickTop="1" thickBot="1" x14ac:dyDescent="0.9">
      <c r="A749" s="156" t="s">
        <v>322</v>
      </c>
      <c r="B749" s="309"/>
      <c r="C749" s="287" t="s">
        <v>179</v>
      </c>
      <c r="D749" s="318"/>
      <c r="E749" s="318"/>
      <c r="F749" s="285" t="s">
        <v>320</v>
      </c>
      <c r="G749" s="285" t="e">
        <v>#VALUE!</v>
      </c>
      <c r="H749" s="286" t="e">
        <v>#VALUE!</v>
      </c>
      <c r="I749" s="217" t="s">
        <v>778</v>
      </c>
      <c r="M749" s="288"/>
      <c r="N749" s="230"/>
      <c r="O749" s="286" t="s">
        <v>171</v>
      </c>
      <c r="P749" s="286" t="s">
        <v>325</v>
      </c>
      <c r="Q749" s="287" t="s">
        <v>199</v>
      </c>
      <c r="R749" t="str">
        <f>IF(ISNUMBER(Table3[[#This Row],[Thickness]]), "Zenith", "")</f>
        <v/>
      </c>
    </row>
    <row r="750" spans="1:20" ht="27" thickTop="1" x14ac:dyDescent="0.85">
      <c r="A750" s="429" t="s">
        <v>614</v>
      </c>
      <c r="B750" s="429" t="s">
        <v>613</v>
      </c>
      <c r="C750" s="430">
        <v>17.25</v>
      </c>
      <c r="D750" s="430"/>
      <c r="E750" s="430" t="s">
        <v>757</v>
      </c>
      <c r="F750" s="431">
        <v>3</v>
      </c>
      <c r="G750" s="431">
        <v>1200</v>
      </c>
      <c r="H750" s="431">
        <v>10000</v>
      </c>
      <c r="I750" s="431" t="s">
        <v>778</v>
      </c>
      <c r="J750" s="432" t="s">
        <v>0</v>
      </c>
      <c r="K750" s="432">
        <v>-30</v>
      </c>
      <c r="L750" s="432">
        <v>70</v>
      </c>
      <c r="M750" s="436" t="s">
        <v>577</v>
      </c>
      <c r="N750" s="436">
        <v>65</v>
      </c>
      <c r="O750" s="431" t="s">
        <v>168</v>
      </c>
      <c r="P750" s="431" t="s">
        <v>168</v>
      </c>
      <c r="Q750" s="430">
        <f>C750*((100-Discounts!$B$59)/100)</f>
        <v>6.9</v>
      </c>
      <c r="R750" t="str">
        <f>IF(ISNUMBER(Table3[[#This Row],[Thickness]]), "Zenith", "")</f>
        <v>Zenith</v>
      </c>
      <c r="S750">
        <v>3.5</v>
      </c>
      <c r="T750">
        <v>250</v>
      </c>
    </row>
    <row r="751" spans="1:20" ht="27" thickBot="1" x14ac:dyDescent="0.9">
      <c r="A751" s="410"/>
      <c r="B751" s="411"/>
      <c r="C751" s="412" t="s">
        <v>597</v>
      </c>
      <c r="D751" s="413"/>
      <c r="E751" s="413"/>
      <c r="F751" s="414" t="s">
        <v>617</v>
      </c>
      <c r="G751" s="414">
        <v>0</v>
      </c>
      <c r="H751" s="338">
        <v>0</v>
      </c>
      <c r="I751" s="217" t="s">
        <v>778</v>
      </c>
      <c r="M751" s="416"/>
      <c r="N751" s="349"/>
      <c r="O751" s="338"/>
      <c r="P751" s="338"/>
      <c r="Q751" s="412" t="s">
        <v>323</v>
      </c>
      <c r="R751" t="str">
        <f>IF(ISNUMBER(Table3[[#This Row],[Thickness]]), "Zenith", "")</f>
        <v/>
      </c>
    </row>
    <row r="752" spans="1:20" ht="54" thickTop="1" thickBot="1" x14ac:dyDescent="0.9">
      <c r="A752" s="156" t="s">
        <v>322</v>
      </c>
      <c r="B752" s="309"/>
      <c r="C752" s="287" t="s">
        <v>179</v>
      </c>
      <c r="D752" s="318"/>
      <c r="E752" s="318"/>
      <c r="F752" s="285" t="s">
        <v>320</v>
      </c>
      <c r="G752" s="285" t="e">
        <v>#VALUE!</v>
      </c>
      <c r="H752" s="286" t="e">
        <v>#VALUE!</v>
      </c>
      <c r="I752" s="217" t="s">
        <v>778</v>
      </c>
      <c r="M752" s="291"/>
      <c r="N752" s="233"/>
      <c r="O752" s="286" t="s">
        <v>171</v>
      </c>
      <c r="P752" s="286" t="s">
        <v>325</v>
      </c>
      <c r="Q752" s="287" t="s">
        <v>199</v>
      </c>
      <c r="R752" t="str">
        <f>IF(ISNUMBER(Table3[[#This Row],[Thickness]]), "Zenith", "")</f>
        <v/>
      </c>
    </row>
    <row r="753" spans="1:20" ht="27" thickTop="1" x14ac:dyDescent="0.85">
      <c r="A753" s="429" t="s">
        <v>615</v>
      </c>
      <c r="B753" s="429" t="s">
        <v>617</v>
      </c>
      <c r="C753" s="430">
        <v>29.25</v>
      </c>
      <c r="D753" s="430"/>
      <c r="E753" s="430" t="s">
        <v>757</v>
      </c>
      <c r="F753" s="431">
        <v>5</v>
      </c>
      <c r="G753" s="431">
        <v>1000</v>
      </c>
      <c r="H753" s="431">
        <v>10000</v>
      </c>
      <c r="I753" s="431" t="s">
        <v>778</v>
      </c>
      <c r="J753" s="432" t="s">
        <v>0</v>
      </c>
      <c r="K753" s="432">
        <v>-30</v>
      </c>
      <c r="L753" s="432">
        <v>70</v>
      </c>
      <c r="M753" s="436" t="s">
        <v>577</v>
      </c>
      <c r="N753" s="436">
        <v>65</v>
      </c>
      <c r="O753" s="431" t="s">
        <v>168</v>
      </c>
      <c r="P753" s="431" t="s">
        <v>168</v>
      </c>
      <c r="Q753" s="430">
        <f>C753*((100-Discounts!$B$60)/100)</f>
        <v>11.700000000000001</v>
      </c>
      <c r="R753" t="str">
        <f>IF(ISNUMBER(Table3[[#This Row],[Thickness]]), "Zenith", "")</f>
        <v>Zenith</v>
      </c>
      <c r="S753">
        <v>3.5</v>
      </c>
      <c r="T753">
        <v>250</v>
      </c>
    </row>
    <row r="754" spans="1:20" x14ac:dyDescent="0.85">
      <c r="A754" s="433" t="s">
        <v>615</v>
      </c>
      <c r="B754" s="429" t="s">
        <v>617</v>
      </c>
      <c r="C754" s="434">
        <v>29.25</v>
      </c>
      <c r="D754" s="434"/>
      <c r="E754" s="430" t="s">
        <v>757</v>
      </c>
      <c r="F754" s="435">
        <v>5</v>
      </c>
      <c r="G754" s="435">
        <v>1200</v>
      </c>
      <c r="H754" s="435">
        <v>10000</v>
      </c>
      <c r="I754" s="431" t="s">
        <v>778</v>
      </c>
      <c r="J754" s="432" t="s">
        <v>0</v>
      </c>
      <c r="K754" s="432">
        <v>-30</v>
      </c>
      <c r="L754" s="432">
        <v>70</v>
      </c>
      <c r="M754" s="436" t="s">
        <v>577</v>
      </c>
      <c r="N754" s="436">
        <v>65</v>
      </c>
      <c r="O754" s="435" t="s">
        <v>168</v>
      </c>
      <c r="P754" s="435" t="s">
        <v>168</v>
      </c>
      <c r="Q754" s="434">
        <f>C754*((100-Discounts!$B$60)/100)</f>
        <v>11.700000000000001</v>
      </c>
      <c r="R754" t="str">
        <f>IF(ISNUMBER(Table3[[#This Row],[Thickness]]), "Zenith", "")</f>
        <v>Zenith</v>
      </c>
      <c r="S754">
        <v>3.5</v>
      </c>
      <c r="T754">
        <v>250</v>
      </c>
    </row>
    <row r="755" spans="1:20" x14ac:dyDescent="0.85">
      <c r="A755" s="429" t="s">
        <v>616</v>
      </c>
      <c r="B755" s="429" t="s">
        <v>617</v>
      </c>
      <c r="C755" s="430">
        <v>37.5</v>
      </c>
      <c r="D755" s="430"/>
      <c r="E755" s="430" t="s">
        <v>757</v>
      </c>
      <c r="F755" s="431">
        <v>6</v>
      </c>
      <c r="G755" s="431">
        <v>1000</v>
      </c>
      <c r="H755" s="431">
        <v>10000</v>
      </c>
      <c r="I755" s="431" t="s">
        <v>778</v>
      </c>
      <c r="J755" s="432" t="s">
        <v>0</v>
      </c>
      <c r="K755" s="432">
        <v>-30</v>
      </c>
      <c r="L755" s="432">
        <v>70</v>
      </c>
      <c r="M755" s="436" t="s">
        <v>577</v>
      </c>
      <c r="N755" s="436">
        <v>65</v>
      </c>
      <c r="O755" s="431" t="s">
        <v>168</v>
      </c>
      <c r="P755" s="431" t="s">
        <v>168</v>
      </c>
      <c r="Q755" s="430">
        <f>C755*((100-Discounts!$B$60)/100)</f>
        <v>15</v>
      </c>
      <c r="R755" t="str">
        <f>IF(ISNUMBER(Table3[[#This Row],[Thickness]]), "Zenith", "")</f>
        <v>Zenith</v>
      </c>
      <c r="S755">
        <v>3.5</v>
      </c>
      <c r="T755">
        <v>250</v>
      </c>
    </row>
    <row r="756" spans="1:20" x14ac:dyDescent="0.85">
      <c r="A756" s="433" t="s">
        <v>616</v>
      </c>
      <c r="B756" s="429" t="s">
        <v>617</v>
      </c>
      <c r="C756" s="434">
        <v>37.5</v>
      </c>
      <c r="D756" s="434"/>
      <c r="E756" s="430" t="s">
        <v>757</v>
      </c>
      <c r="F756" s="435">
        <v>6</v>
      </c>
      <c r="G756" s="435">
        <v>1200</v>
      </c>
      <c r="H756" s="435">
        <v>10000</v>
      </c>
      <c r="I756" s="431" t="s">
        <v>778</v>
      </c>
      <c r="J756" s="432" t="s">
        <v>0</v>
      </c>
      <c r="K756" s="432">
        <v>-30</v>
      </c>
      <c r="L756" s="432">
        <v>70</v>
      </c>
      <c r="M756" s="436" t="s">
        <v>577</v>
      </c>
      <c r="N756" s="436">
        <v>65</v>
      </c>
      <c r="O756" s="435" t="s">
        <v>168</v>
      </c>
      <c r="P756" s="435" t="s">
        <v>168</v>
      </c>
      <c r="Q756" s="434">
        <f>C756*((100-Discounts!$B$60)/100)</f>
        <v>15</v>
      </c>
      <c r="R756" t="str">
        <f>IF(ISNUMBER(Table3[[#This Row],[Thickness]]), "Zenith", "")</f>
        <v>Zenith</v>
      </c>
      <c r="S756">
        <v>3.5</v>
      </c>
      <c r="T756">
        <v>250</v>
      </c>
    </row>
    <row r="757" spans="1:20" ht="27" thickBot="1" x14ac:dyDescent="0.9">
      <c r="A757" s="410"/>
      <c r="B757" s="411"/>
      <c r="C757" s="412" t="s">
        <v>597</v>
      </c>
      <c r="D757" s="413"/>
      <c r="E757" s="413"/>
      <c r="F757" s="414" t="s">
        <v>618</v>
      </c>
      <c r="G757" s="414">
        <v>0</v>
      </c>
      <c r="H757" s="338">
        <v>0</v>
      </c>
      <c r="I757" s="217" t="s">
        <v>778</v>
      </c>
      <c r="M757" s="416"/>
      <c r="N757" s="349"/>
      <c r="O757" s="338"/>
      <c r="P757" s="338"/>
      <c r="Q757" s="412" t="s">
        <v>323</v>
      </c>
      <c r="R757" t="str">
        <f>IF(ISNUMBER(Table3[[#This Row],[Thickness]]), "Zenith", "")</f>
        <v/>
      </c>
    </row>
    <row r="758" spans="1:20" ht="54" thickTop="1" thickBot="1" x14ac:dyDescent="0.9">
      <c r="A758" s="156" t="s">
        <v>322</v>
      </c>
      <c r="B758" s="309"/>
      <c r="C758" s="287" t="s">
        <v>179</v>
      </c>
      <c r="D758" s="318"/>
      <c r="E758" s="318"/>
      <c r="F758" s="285" t="s">
        <v>320</v>
      </c>
      <c r="G758" s="285" t="e">
        <v>#VALUE!</v>
      </c>
      <c r="H758" s="286" t="e">
        <v>#VALUE!</v>
      </c>
      <c r="I758" s="217" t="s">
        <v>778</v>
      </c>
      <c r="M758" s="291"/>
      <c r="N758" s="233"/>
      <c r="O758" s="286" t="s">
        <v>171</v>
      </c>
      <c r="P758" s="286" t="s">
        <v>325</v>
      </c>
      <c r="Q758" s="287" t="s">
        <v>199</v>
      </c>
      <c r="R758" t="str">
        <f>IF(ISNUMBER(Table3[[#This Row],[Thickness]]), "Zenith", "")</f>
        <v/>
      </c>
    </row>
    <row r="759" spans="1:20" ht="27" thickTop="1" x14ac:dyDescent="0.85">
      <c r="A759" s="429" t="s">
        <v>619</v>
      </c>
      <c r="B759" s="429" t="s">
        <v>618</v>
      </c>
      <c r="C759" s="430">
        <v>22.75</v>
      </c>
      <c r="D759" s="430"/>
      <c r="E759" s="430" t="s">
        <v>757</v>
      </c>
      <c r="F759" s="431">
        <v>5</v>
      </c>
      <c r="G759" s="431">
        <v>1000</v>
      </c>
      <c r="H759" s="431">
        <v>10000</v>
      </c>
      <c r="I759" s="431" t="s">
        <v>778</v>
      </c>
      <c r="J759" s="432" t="s">
        <v>0</v>
      </c>
      <c r="K759" s="432">
        <v>-30</v>
      </c>
      <c r="L759" s="432">
        <v>70</v>
      </c>
      <c r="M759" s="436" t="s">
        <v>577</v>
      </c>
      <c r="N759" s="436">
        <v>65</v>
      </c>
      <c r="O759" s="431" t="s">
        <v>168</v>
      </c>
      <c r="P759" s="431" t="s">
        <v>168</v>
      </c>
      <c r="Q759" s="430">
        <f>C759*((100-Discounts!$B$61)/100)</f>
        <v>9.1</v>
      </c>
      <c r="R759" t="str">
        <f>IF(ISNUMBER(Table3[[#This Row],[Thickness]]), "Zenith", "")</f>
        <v>Zenith</v>
      </c>
      <c r="S759">
        <v>3</v>
      </c>
      <c r="T759">
        <v>200</v>
      </c>
    </row>
    <row r="760" spans="1:20" x14ac:dyDescent="0.85">
      <c r="A760" s="433" t="s">
        <v>619</v>
      </c>
      <c r="B760" s="429" t="s">
        <v>618</v>
      </c>
      <c r="C760" s="434">
        <v>22.75</v>
      </c>
      <c r="D760" s="434"/>
      <c r="E760" s="430" t="s">
        <v>757</v>
      </c>
      <c r="F760" s="435">
        <v>5</v>
      </c>
      <c r="G760" s="435">
        <v>1200</v>
      </c>
      <c r="H760" s="435">
        <v>10000</v>
      </c>
      <c r="I760" s="431" t="s">
        <v>778</v>
      </c>
      <c r="J760" s="432" t="s">
        <v>0</v>
      </c>
      <c r="K760" s="432">
        <v>-30</v>
      </c>
      <c r="L760" s="432">
        <v>70</v>
      </c>
      <c r="M760" s="436" t="s">
        <v>577</v>
      </c>
      <c r="N760" s="436">
        <v>65</v>
      </c>
      <c r="O760" s="435" t="s">
        <v>168</v>
      </c>
      <c r="P760" s="435" t="s">
        <v>168</v>
      </c>
      <c r="Q760" s="434">
        <f>C760*((100-Discounts!$B$61)/100)</f>
        <v>9.1</v>
      </c>
      <c r="R760" t="str">
        <f>IF(ISNUMBER(Table3[[#This Row],[Thickness]]), "Zenith", "")</f>
        <v>Zenith</v>
      </c>
      <c r="S760">
        <v>3</v>
      </c>
      <c r="T760">
        <v>200</v>
      </c>
    </row>
    <row r="761" spans="1:20" x14ac:dyDescent="0.85">
      <c r="A761" s="429" t="s">
        <v>620</v>
      </c>
      <c r="B761" s="429" t="s">
        <v>618</v>
      </c>
      <c r="C761" s="430">
        <v>29</v>
      </c>
      <c r="D761" s="430"/>
      <c r="E761" s="430" t="s">
        <v>757</v>
      </c>
      <c r="F761" s="431">
        <v>6</v>
      </c>
      <c r="G761" s="431">
        <v>1000</v>
      </c>
      <c r="H761" s="431">
        <v>10000</v>
      </c>
      <c r="I761" s="431" t="s">
        <v>778</v>
      </c>
      <c r="J761" s="432" t="s">
        <v>0</v>
      </c>
      <c r="K761" s="432">
        <v>-30</v>
      </c>
      <c r="L761" s="432">
        <v>70</v>
      </c>
      <c r="M761" s="436" t="s">
        <v>577</v>
      </c>
      <c r="N761" s="436">
        <v>65</v>
      </c>
      <c r="O761" s="431" t="s">
        <v>168</v>
      </c>
      <c r="P761" s="431" t="s">
        <v>168</v>
      </c>
      <c r="Q761" s="430">
        <f>C761*((100-Discounts!$B$61)/100)</f>
        <v>11.600000000000001</v>
      </c>
      <c r="R761" t="str">
        <f>IF(ISNUMBER(Table3[[#This Row],[Thickness]]), "Zenith", "")</f>
        <v>Zenith</v>
      </c>
      <c r="S761">
        <v>3</v>
      </c>
      <c r="T761">
        <v>200</v>
      </c>
    </row>
    <row r="762" spans="1:20" x14ac:dyDescent="0.85">
      <c r="A762" s="433" t="s">
        <v>620</v>
      </c>
      <c r="B762" s="429" t="s">
        <v>618</v>
      </c>
      <c r="C762" s="434">
        <v>29</v>
      </c>
      <c r="D762" s="434"/>
      <c r="E762" s="430" t="s">
        <v>757</v>
      </c>
      <c r="F762" s="435">
        <v>6</v>
      </c>
      <c r="G762" s="435">
        <v>1200</v>
      </c>
      <c r="H762" s="435">
        <v>10000</v>
      </c>
      <c r="I762" s="431" t="s">
        <v>778</v>
      </c>
      <c r="J762" s="432" t="s">
        <v>0</v>
      </c>
      <c r="K762" s="432">
        <v>-30</v>
      </c>
      <c r="L762" s="432">
        <v>70</v>
      </c>
      <c r="M762" s="436" t="s">
        <v>577</v>
      </c>
      <c r="N762" s="436">
        <v>65</v>
      </c>
      <c r="O762" s="435" t="s">
        <v>168</v>
      </c>
      <c r="P762" s="435" t="s">
        <v>168</v>
      </c>
      <c r="Q762" s="434">
        <f>C762*((100-Discounts!$B$61)/100)</f>
        <v>11.600000000000001</v>
      </c>
      <c r="R762" t="str">
        <f>IF(ISNUMBER(Table3[[#This Row],[Thickness]]), "Zenith", "")</f>
        <v>Zenith</v>
      </c>
      <c r="S762">
        <v>3</v>
      </c>
      <c r="T762">
        <v>200</v>
      </c>
    </row>
    <row r="763" spans="1:20" ht="27" thickBot="1" x14ac:dyDescent="0.9">
      <c r="A763" s="410"/>
      <c r="B763" s="411"/>
      <c r="C763" s="412" t="s">
        <v>597</v>
      </c>
      <c r="D763" s="413"/>
      <c r="E763" s="413"/>
      <c r="F763" s="414" t="s">
        <v>621</v>
      </c>
      <c r="G763" s="414">
        <v>0</v>
      </c>
      <c r="H763" s="338">
        <v>0</v>
      </c>
      <c r="I763" s="217" t="s">
        <v>778</v>
      </c>
      <c r="M763" s="416"/>
      <c r="N763" s="349"/>
      <c r="O763" s="338"/>
      <c r="P763" s="338"/>
      <c r="Q763" s="412" t="s">
        <v>323</v>
      </c>
      <c r="R763" t="str">
        <f>IF(ISNUMBER(Table3[[#This Row],[Thickness]]), "Zenith", "")</f>
        <v/>
      </c>
    </row>
    <row r="764" spans="1:20" ht="54" thickTop="1" thickBot="1" x14ac:dyDescent="0.9">
      <c r="A764" s="156" t="s">
        <v>322</v>
      </c>
      <c r="B764" s="309"/>
      <c r="C764" s="287" t="s">
        <v>179</v>
      </c>
      <c r="D764" s="318"/>
      <c r="E764" s="318"/>
      <c r="F764" s="285" t="s">
        <v>320</v>
      </c>
      <c r="G764" s="285" t="e">
        <v>#VALUE!</v>
      </c>
      <c r="H764" s="286" t="e">
        <v>#VALUE!</v>
      </c>
      <c r="I764" s="217" t="s">
        <v>778</v>
      </c>
      <c r="M764" s="291"/>
      <c r="N764" s="233"/>
      <c r="O764" s="286" t="s">
        <v>171</v>
      </c>
      <c r="P764" s="286" t="s">
        <v>325</v>
      </c>
      <c r="Q764" s="287" t="s">
        <v>199</v>
      </c>
      <c r="R764" t="str">
        <f>IF(ISNUMBER(Table3[[#This Row],[Thickness]]), "Zenith", "")</f>
        <v/>
      </c>
    </row>
    <row r="765" spans="1:20" ht="27" thickTop="1" x14ac:dyDescent="0.85">
      <c r="A765" s="437" t="s">
        <v>622</v>
      </c>
      <c r="B765" s="437" t="s">
        <v>621</v>
      </c>
      <c r="C765" s="430">
        <v>34.5</v>
      </c>
      <c r="D765" s="430"/>
      <c r="E765" s="430" t="s">
        <v>757</v>
      </c>
      <c r="F765" s="438">
        <v>4.5</v>
      </c>
      <c r="G765" s="438">
        <v>2000</v>
      </c>
      <c r="H765" s="438">
        <v>10000</v>
      </c>
      <c r="I765" s="431" t="s">
        <v>778</v>
      </c>
      <c r="J765" s="432" t="s">
        <v>0</v>
      </c>
      <c r="K765" s="432">
        <v>-30</v>
      </c>
      <c r="L765" s="432">
        <v>70</v>
      </c>
      <c r="M765" s="436" t="s">
        <v>577</v>
      </c>
      <c r="N765" s="436">
        <v>65</v>
      </c>
      <c r="O765" s="438" t="s">
        <v>168</v>
      </c>
      <c r="P765" s="438" t="s">
        <v>168</v>
      </c>
      <c r="Q765" s="430">
        <f>C765*((100-Discounts!$B$62)/100)</f>
        <v>13.8</v>
      </c>
      <c r="R765" t="str">
        <f>IF(ISNUMBER(Table3[[#This Row],[Thickness]]), "Zenith", "")</f>
        <v>Zenith</v>
      </c>
      <c r="S765">
        <v>5</v>
      </c>
      <c r="T765">
        <v>250</v>
      </c>
    </row>
    <row r="766" spans="1:20" x14ac:dyDescent="0.85">
      <c r="A766" s="439" t="s">
        <v>623</v>
      </c>
      <c r="B766" s="437" t="s">
        <v>621</v>
      </c>
      <c r="C766" s="434">
        <v>45.25</v>
      </c>
      <c r="D766" s="434"/>
      <c r="E766" s="430" t="s">
        <v>757</v>
      </c>
      <c r="F766" s="440">
        <v>6</v>
      </c>
      <c r="G766" s="440">
        <v>2000</v>
      </c>
      <c r="H766" s="440">
        <v>10000</v>
      </c>
      <c r="I766" s="431" t="s">
        <v>778</v>
      </c>
      <c r="J766" s="432" t="s">
        <v>0</v>
      </c>
      <c r="K766" s="432">
        <v>-30</v>
      </c>
      <c r="L766" s="432">
        <v>70</v>
      </c>
      <c r="M766" s="436" t="s">
        <v>577</v>
      </c>
      <c r="N766" s="436">
        <v>65</v>
      </c>
      <c r="O766" s="440" t="s">
        <v>168</v>
      </c>
      <c r="P766" s="440" t="s">
        <v>168</v>
      </c>
      <c r="Q766" s="434">
        <f>C766*((100-Discounts!$B$62)/100)</f>
        <v>18.100000000000001</v>
      </c>
      <c r="R766" t="str">
        <f>IF(ISNUMBER(Table3[[#This Row],[Thickness]]), "Zenith", "")</f>
        <v>Zenith</v>
      </c>
      <c r="S766">
        <v>5</v>
      </c>
      <c r="T766">
        <v>250</v>
      </c>
    </row>
    <row r="767" spans="1:20" x14ac:dyDescent="0.85">
      <c r="A767" s="437" t="s">
        <v>624</v>
      </c>
      <c r="B767" s="437" t="s">
        <v>621</v>
      </c>
      <c r="C767" s="430">
        <v>57.75</v>
      </c>
      <c r="D767" s="430"/>
      <c r="E767" s="430" t="s">
        <v>757</v>
      </c>
      <c r="F767" s="438">
        <v>6</v>
      </c>
      <c r="G767" s="438">
        <v>1600</v>
      </c>
      <c r="H767" s="438">
        <v>10000</v>
      </c>
      <c r="I767" s="431" t="s">
        <v>778</v>
      </c>
      <c r="J767" s="432" t="s">
        <v>0</v>
      </c>
      <c r="K767" s="432">
        <v>-30</v>
      </c>
      <c r="L767" s="432">
        <v>70</v>
      </c>
      <c r="M767" s="436" t="s">
        <v>577</v>
      </c>
      <c r="N767" s="436">
        <v>65</v>
      </c>
      <c r="O767" s="438">
        <v>2</v>
      </c>
      <c r="P767" s="438" t="s">
        <v>178</v>
      </c>
      <c r="Q767" s="430">
        <f>C767*((100-Discounts!$B$62)/100)</f>
        <v>23.1</v>
      </c>
      <c r="R767" t="str">
        <f>IF(ISNUMBER(Table3[[#This Row],[Thickness]]), "Zenith", "")</f>
        <v>Zenith</v>
      </c>
      <c r="S767">
        <v>5</v>
      </c>
      <c r="T767">
        <v>250</v>
      </c>
    </row>
    <row r="768" spans="1:20" ht="27" thickBot="1" x14ac:dyDescent="0.9">
      <c r="A768" s="410"/>
      <c r="B768" s="411"/>
      <c r="C768" s="412" t="s">
        <v>597</v>
      </c>
      <c r="D768" s="413"/>
      <c r="E768" s="413"/>
      <c r="F768" s="414" t="s">
        <v>628</v>
      </c>
      <c r="G768" s="414">
        <v>0</v>
      </c>
      <c r="H768" s="338">
        <v>0</v>
      </c>
      <c r="I768" s="217" t="s">
        <v>778</v>
      </c>
      <c r="M768" s="417"/>
      <c r="N768" s="343"/>
      <c r="O768" s="338"/>
      <c r="P768" s="338"/>
      <c r="Q768" s="412" t="s">
        <v>323</v>
      </c>
      <c r="R768" t="str">
        <f>IF(ISNUMBER(Table3[[#This Row],[Thickness]]), "Zenith", "")</f>
        <v/>
      </c>
    </row>
    <row r="769" spans="1:20" ht="54" thickTop="1" thickBot="1" x14ac:dyDescent="0.9">
      <c r="A769" s="156" t="s">
        <v>322</v>
      </c>
      <c r="B769" s="309"/>
      <c r="C769" s="287" t="s">
        <v>179</v>
      </c>
      <c r="D769" s="318"/>
      <c r="E769" s="318"/>
      <c r="F769" s="285" t="s">
        <v>320</v>
      </c>
      <c r="G769" s="285" t="e">
        <v>#VALUE!</v>
      </c>
      <c r="H769" s="286" t="e">
        <v>#VALUE!</v>
      </c>
      <c r="I769" s="217" t="s">
        <v>778</v>
      </c>
      <c r="M769" s="290"/>
      <c r="N769" s="230"/>
      <c r="O769" s="286" t="s">
        <v>171</v>
      </c>
      <c r="P769" s="286" t="s">
        <v>325</v>
      </c>
      <c r="Q769" s="287" t="s">
        <v>199</v>
      </c>
      <c r="R769" t="str">
        <f>IF(ISNUMBER(Table3[[#This Row],[Thickness]]), "Zenith", "")</f>
        <v/>
      </c>
    </row>
    <row r="770" spans="1:20" ht="27" thickTop="1" x14ac:dyDescent="0.85">
      <c r="A770" s="429" t="s">
        <v>625</v>
      </c>
      <c r="B770" s="429" t="s">
        <v>766</v>
      </c>
      <c r="C770" s="430">
        <v>25</v>
      </c>
      <c r="D770" s="430"/>
      <c r="E770" s="430" t="s">
        <v>757</v>
      </c>
      <c r="F770" s="431">
        <v>3</v>
      </c>
      <c r="G770" s="431">
        <v>1000</v>
      </c>
      <c r="H770" s="431">
        <v>10000</v>
      </c>
      <c r="I770" s="431" t="s">
        <v>778</v>
      </c>
      <c r="J770" s="432" t="s">
        <v>0</v>
      </c>
      <c r="K770" s="432">
        <v>-30</v>
      </c>
      <c r="L770" s="432">
        <v>70</v>
      </c>
      <c r="M770" s="436" t="s">
        <v>577</v>
      </c>
      <c r="N770" s="436">
        <v>80</v>
      </c>
      <c r="O770" s="431" t="s">
        <v>168</v>
      </c>
      <c r="P770" s="431" t="s">
        <v>168</v>
      </c>
      <c r="Q770" s="430">
        <f>C770*((100-Discounts!$B$63)/100)</f>
        <v>10</v>
      </c>
      <c r="R770" t="str">
        <f>IF(ISNUMBER(Table3[[#This Row],[Thickness]]), "Zenith", "")</f>
        <v>Zenith</v>
      </c>
      <c r="S770">
        <v>5</v>
      </c>
      <c r="T770">
        <v>250</v>
      </c>
    </row>
    <row r="771" spans="1:20" x14ac:dyDescent="0.85">
      <c r="A771" s="433" t="s">
        <v>625</v>
      </c>
      <c r="B771" s="429" t="s">
        <v>766</v>
      </c>
      <c r="C771" s="434">
        <v>25</v>
      </c>
      <c r="D771" s="434"/>
      <c r="E771" s="430" t="s">
        <v>757</v>
      </c>
      <c r="F771" s="435">
        <v>3</v>
      </c>
      <c r="G771" s="435">
        <v>1200</v>
      </c>
      <c r="H771" s="435">
        <v>10000</v>
      </c>
      <c r="I771" s="431" t="s">
        <v>778</v>
      </c>
      <c r="J771" s="432" t="s">
        <v>0</v>
      </c>
      <c r="K771" s="432">
        <v>-30</v>
      </c>
      <c r="L771" s="432">
        <v>70</v>
      </c>
      <c r="M771" s="436" t="s">
        <v>577</v>
      </c>
      <c r="N771" s="436">
        <v>80</v>
      </c>
      <c r="O771" s="435" t="s">
        <v>168</v>
      </c>
      <c r="P771" s="435" t="s">
        <v>168</v>
      </c>
      <c r="Q771" s="434">
        <f>C771*((100-Discounts!$B$63)/100)</f>
        <v>10</v>
      </c>
      <c r="R771" t="str">
        <f>IF(ISNUMBER(Table3[[#This Row],[Thickness]]), "Zenith", "")</f>
        <v>Zenith</v>
      </c>
      <c r="S771">
        <v>5</v>
      </c>
      <c r="T771">
        <v>250</v>
      </c>
    </row>
    <row r="772" spans="1:20" x14ac:dyDescent="0.85">
      <c r="A772" s="429" t="s">
        <v>626</v>
      </c>
      <c r="B772" s="429" t="s">
        <v>766</v>
      </c>
      <c r="C772" s="430">
        <v>35.25</v>
      </c>
      <c r="D772" s="430"/>
      <c r="E772" s="430" t="s">
        <v>757</v>
      </c>
      <c r="F772" s="431">
        <v>4</v>
      </c>
      <c r="G772" s="431">
        <v>1200</v>
      </c>
      <c r="H772" s="431">
        <v>10000</v>
      </c>
      <c r="I772" s="431" t="s">
        <v>778</v>
      </c>
      <c r="J772" s="432" t="s">
        <v>0</v>
      </c>
      <c r="K772" s="432">
        <v>-30</v>
      </c>
      <c r="L772" s="432">
        <v>70</v>
      </c>
      <c r="M772" s="436" t="s">
        <v>577</v>
      </c>
      <c r="N772" s="436">
        <v>80</v>
      </c>
      <c r="O772" s="431" t="s">
        <v>168</v>
      </c>
      <c r="P772" s="431" t="s">
        <v>168</v>
      </c>
      <c r="Q772" s="430">
        <f>C772*((100-Discounts!$B$63)/100)</f>
        <v>14.100000000000001</v>
      </c>
      <c r="R772" t="str">
        <f>IF(ISNUMBER(Table3[[#This Row],[Thickness]]), "Zenith", "")</f>
        <v>Zenith</v>
      </c>
      <c r="S772">
        <v>5</v>
      </c>
      <c r="T772">
        <v>250</v>
      </c>
    </row>
    <row r="773" spans="1:20" x14ac:dyDescent="0.85">
      <c r="A773" s="433" t="s">
        <v>627</v>
      </c>
      <c r="B773" s="429" t="s">
        <v>766</v>
      </c>
      <c r="C773" s="434">
        <v>36.5</v>
      </c>
      <c r="D773" s="434"/>
      <c r="E773" s="430" t="s">
        <v>757</v>
      </c>
      <c r="F773" s="435">
        <v>4.5</v>
      </c>
      <c r="G773" s="435">
        <v>1000</v>
      </c>
      <c r="H773" s="435">
        <v>10000</v>
      </c>
      <c r="I773" s="431" t="s">
        <v>778</v>
      </c>
      <c r="J773" s="432" t="s">
        <v>0</v>
      </c>
      <c r="K773" s="432">
        <v>-30</v>
      </c>
      <c r="L773" s="432">
        <v>70</v>
      </c>
      <c r="M773" s="436" t="s">
        <v>577</v>
      </c>
      <c r="N773" s="436">
        <v>80</v>
      </c>
      <c r="O773" s="435" t="s">
        <v>168</v>
      </c>
      <c r="P773" s="435" t="s">
        <v>168</v>
      </c>
      <c r="Q773" s="434">
        <f>C773*((100-Discounts!$B$63)/100)</f>
        <v>14.600000000000001</v>
      </c>
      <c r="R773" t="str">
        <f>IF(ISNUMBER(Table3[[#This Row],[Thickness]]), "Zenith", "")</f>
        <v>Zenith</v>
      </c>
      <c r="S773">
        <v>5</v>
      </c>
      <c r="T773">
        <v>250</v>
      </c>
    </row>
    <row r="774" spans="1:20" x14ac:dyDescent="0.85">
      <c r="A774" s="429" t="s">
        <v>627</v>
      </c>
      <c r="B774" s="429" t="s">
        <v>766</v>
      </c>
      <c r="C774" s="430">
        <v>36.5</v>
      </c>
      <c r="D774" s="430"/>
      <c r="E774" s="430" t="s">
        <v>757</v>
      </c>
      <c r="F774" s="431">
        <v>4.5</v>
      </c>
      <c r="G774" s="431">
        <v>1200</v>
      </c>
      <c r="H774" s="431">
        <v>10000</v>
      </c>
      <c r="I774" s="431" t="s">
        <v>778</v>
      </c>
      <c r="J774" s="432" t="s">
        <v>0</v>
      </c>
      <c r="K774" s="432">
        <v>-30</v>
      </c>
      <c r="L774" s="432">
        <v>70</v>
      </c>
      <c r="M774" s="436" t="s">
        <v>577</v>
      </c>
      <c r="N774" s="436">
        <v>80</v>
      </c>
      <c r="O774" s="431" t="s">
        <v>168</v>
      </c>
      <c r="P774" s="431" t="s">
        <v>168</v>
      </c>
      <c r="Q774" s="430">
        <f>C774*((100-Discounts!$B$63)/100)</f>
        <v>14.600000000000001</v>
      </c>
      <c r="R774" t="str">
        <f>IF(ISNUMBER(Table3[[#This Row],[Thickness]]), "Zenith", "")</f>
        <v>Zenith</v>
      </c>
      <c r="S774">
        <v>5</v>
      </c>
      <c r="T774">
        <v>250</v>
      </c>
    </row>
    <row r="775" spans="1:20" ht="27" thickBot="1" x14ac:dyDescent="0.9">
      <c r="A775" s="410"/>
      <c r="B775" s="411"/>
      <c r="C775" s="412" t="s">
        <v>597</v>
      </c>
      <c r="D775" s="413"/>
      <c r="E775" s="413"/>
      <c r="F775" s="414" t="s">
        <v>629</v>
      </c>
      <c r="G775" s="414">
        <v>0</v>
      </c>
      <c r="H775" s="338">
        <v>0</v>
      </c>
      <c r="I775" s="217" t="s">
        <v>778</v>
      </c>
      <c r="M775" s="418"/>
      <c r="N775" s="349"/>
      <c r="O775" s="338"/>
      <c r="P775" s="338"/>
      <c r="Q775" s="412" t="s">
        <v>323</v>
      </c>
      <c r="R775" t="str">
        <f>IF(ISNUMBER(Table3[[#This Row],[Thickness]]), "Zenith", "")</f>
        <v/>
      </c>
    </row>
    <row r="776" spans="1:20" ht="54" thickTop="1" thickBot="1" x14ac:dyDescent="0.9">
      <c r="A776" s="156" t="s">
        <v>322</v>
      </c>
      <c r="B776" s="309"/>
      <c r="C776" s="287" t="s">
        <v>179</v>
      </c>
      <c r="D776" s="318"/>
      <c r="E776" s="318"/>
      <c r="F776" s="285" t="s">
        <v>320</v>
      </c>
      <c r="G776" s="285" t="e">
        <v>#VALUE!</v>
      </c>
      <c r="H776" s="286" t="e">
        <v>#VALUE!</v>
      </c>
      <c r="I776" s="217" t="s">
        <v>778</v>
      </c>
      <c r="M776" s="289"/>
      <c r="N776" s="233"/>
      <c r="O776" s="286" t="s">
        <v>171</v>
      </c>
      <c r="P776" s="286" t="s">
        <v>325</v>
      </c>
      <c r="Q776" s="287" t="s">
        <v>199</v>
      </c>
      <c r="R776" t="str">
        <f>IF(ISNUMBER(Table3[[#This Row],[Thickness]]), "Zenith", "")</f>
        <v/>
      </c>
    </row>
    <row r="777" spans="1:20" ht="27" thickTop="1" x14ac:dyDescent="0.85">
      <c r="A777" s="429" t="s">
        <v>630</v>
      </c>
      <c r="B777" s="429" t="s">
        <v>767</v>
      </c>
      <c r="C777" s="430">
        <v>42</v>
      </c>
      <c r="D777" s="430"/>
      <c r="E777" s="430" t="s">
        <v>757</v>
      </c>
      <c r="F777" s="431">
        <v>3</v>
      </c>
      <c r="G777" s="431">
        <v>1200</v>
      </c>
      <c r="H777" s="431">
        <v>10000</v>
      </c>
      <c r="I777" s="431" t="s">
        <v>778</v>
      </c>
      <c r="J777" s="432" t="s">
        <v>0</v>
      </c>
      <c r="K777" s="432">
        <v>-30</v>
      </c>
      <c r="L777" s="432">
        <v>70</v>
      </c>
      <c r="M777" s="157" t="s">
        <v>631</v>
      </c>
      <c r="N777" s="436">
        <v>80</v>
      </c>
      <c r="O777" s="431" t="s">
        <v>168</v>
      </c>
      <c r="P777" s="431" t="s">
        <v>168</v>
      </c>
      <c r="Q777" s="430">
        <f>C777*((100-Discounts!$B$63)/100)</f>
        <v>16.8</v>
      </c>
      <c r="R777" t="str">
        <f>IF(ISNUMBER(Table3[[#This Row],[Thickness]]), "Zenith", "")</f>
        <v>Zenith</v>
      </c>
      <c r="S777">
        <v>5</v>
      </c>
      <c r="T777">
        <v>250</v>
      </c>
    </row>
    <row r="778" spans="1:20" x14ac:dyDescent="0.85">
      <c r="A778" s="433" t="s">
        <v>632</v>
      </c>
      <c r="B778" s="429" t="s">
        <v>767</v>
      </c>
      <c r="C778" s="434">
        <v>42</v>
      </c>
      <c r="D778" s="434"/>
      <c r="E778" s="430" t="s">
        <v>757</v>
      </c>
      <c r="F778" s="435">
        <v>3</v>
      </c>
      <c r="G778" s="435">
        <v>1200</v>
      </c>
      <c r="H778" s="435">
        <v>10000</v>
      </c>
      <c r="I778" s="431" t="s">
        <v>778</v>
      </c>
      <c r="J778" s="432" t="s">
        <v>0</v>
      </c>
      <c r="K778" s="432">
        <v>-30</v>
      </c>
      <c r="L778" s="432">
        <v>70</v>
      </c>
      <c r="M778" s="441" t="s">
        <v>633</v>
      </c>
      <c r="N778" s="436">
        <v>80</v>
      </c>
      <c r="O778" s="435" t="s">
        <v>168</v>
      </c>
      <c r="P778" s="435" t="s">
        <v>168</v>
      </c>
      <c r="Q778" s="434">
        <f>C778*((100-Discounts!$B$64)/100)</f>
        <v>16.8</v>
      </c>
      <c r="R778" t="str">
        <f>IF(ISNUMBER(Table3[[#This Row],[Thickness]]), "Zenith", "")</f>
        <v>Zenith</v>
      </c>
      <c r="S778">
        <v>5</v>
      </c>
      <c r="T778">
        <v>250</v>
      </c>
    </row>
    <row r="779" spans="1:20" x14ac:dyDescent="0.85">
      <c r="A779" s="429" t="s">
        <v>634</v>
      </c>
      <c r="B779" s="429" t="s">
        <v>767</v>
      </c>
      <c r="C779" s="430">
        <v>42</v>
      </c>
      <c r="D779" s="430"/>
      <c r="E779" s="430" t="s">
        <v>757</v>
      </c>
      <c r="F779" s="431">
        <v>3</v>
      </c>
      <c r="G779" s="431">
        <v>1200</v>
      </c>
      <c r="H779" s="431">
        <v>10000</v>
      </c>
      <c r="I779" s="431" t="s">
        <v>778</v>
      </c>
      <c r="J779" s="432" t="s">
        <v>0</v>
      </c>
      <c r="K779" s="432">
        <v>-30</v>
      </c>
      <c r="L779" s="432">
        <v>70</v>
      </c>
      <c r="M779" s="157" t="s">
        <v>635</v>
      </c>
      <c r="N779" s="436">
        <v>80</v>
      </c>
      <c r="O779" s="431" t="s">
        <v>168</v>
      </c>
      <c r="P779" s="431" t="s">
        <v>168</v>
      </c>
      <c r="Q779" s="430">
        <f>C779*((100-Discounts!$B$64)/100)</f>
        <v>16.8</v>
      </c>
      <c r="R779" t="str">
        <f>IF(ISNUMBER(Table3[[#This Row],[Thickness]]), "Zenith", "")</f>
        <v>Zenith</v>
      </c>
      <c r="S779">
        <v>5</v>
      </c>
      <c r="T779">
        <v>250</v>
      </c>
    </row>
    <row r="780" spans="1:20" x14ac:dyDescent="0.85">
      <c r="A780" s="433" t="s">
        <v>636</v>
      </c>
      <c r="B780" s="429" t="s">
        <v>767</v>
      </c>
      <c r="C780" s="434">
        <v>36</v>
      </c>
      <c r="D780" s="434"/>
      <c r="E780" s="430" t="s">
        <v>757</v>
      </c>
      <c r="F780" s="435">
        <v>3</v>
      </c>
      <c r="G780" s="435">
        <v>1200</v>
      </c>
      <c r="H780" s="435">
        <v>10000</v>
      </c>
      <c r="I780" s="431" t="s">
        <v>778</v>
      </c>
      <c r="J780" s="432" t="s">
        <v>0</v>
      </c>
      <c r="K780" s="432">
        <v>-30</v>
      </c>
      <c r="L780" s="432">
        <v>70</v>
      </c>
      <c r="M780" s="441" t="s">
        <v>572</v>
      </c>
      <c r="N780" s="436">
        <v>80</v>
      </c>
      <c r="O780" s="435" t="s">
        <v>168</v>
      </c>
      <c r="P780" s="435" t="s">
        <v>168</v>
      </c>
      <c r="Q780" s="434">
        <f>C780*((100-Discounts!$B$64)/100)</f>
        <v>14.4</v>
      </c>
      <c r="R780" t="str">
        <f>IF(ISNUMBER(Table3[[#This Row],[Thickness]]), "Zenith", "")</f>
        <v>Zenith</v>
      </c>
      <c r="S780">
        <v>5</v>
      </c>
      <c r="T780">
        <v>250</v>
      </c>
    </row>
    <row r="781" spans="1:20" x14ac:dyDescent="0.85">
      <c r="A781" s="429" t="s">
        <v>638</v>
      </c>
      <c r="B781" s="429" t="s">
        <v>767</v>
      </c>
      <c r="C781" s="430">
        <v>42</v>
      </c>
      <c r="D781" s="430"/>
      <c r="E781" s="430" t="s">
        <v>757</v>
      </c>
      <c r="F781" s="431">
        <v>3</v>
      </c>
      <c r="G781" s="431">
        <v>1200</v>
      </c>
      <c r="H781" s="431">
        <v>10000</v>
      </c>
      <c r="I781" s="431" t="s">
        <v>778</v>
      </c>
      <c r="J781" s="432" t="s">
        <v>0</v>
      </c>
      <c r="K781" s="432">
        <v>-30</v>
      </c>
      <c r="L781" s="432">
        <v>70</v>
      </c>
      <c r="M781" s="157" t="s">
        <v>637</v>
      </c>
      <c r="N781" s="436">
        <v>80</v>
      </c>
      <c r="O781" s="431" t="s">
        <v>168</v>
      </c>
      <c r="P781" s="431" t="s">
        <v>168</v>
      </c>
      <c r="Q781" s="430">
        <f>C781*((100-Discounts!$B$64)/100)</f>
        <v>16.8</v>
      </c>
      <c r="R781" t="str">
        <f>IF(ISNUMBER(Table3[[#This Row],[Thickness]]), "Zenith", "")</f>
        <v>Zenith</v>
      </c>
      <c r="S781">
        <v>5</v>
      </c>
      <c r="T781">
        <v>250</v>
      </c>
    </row>
    <row r="782" spans="1:20" x14ac:dyDescent="0.85">
      <c r="A782" s="433" t="s">
        <v>640</v>
      </c>
      <c r="B782" s="429" t="s">
        <v>767</v>
      </c>
      <c r="C782" s="434">
        <v>42</v>
      </c>
      <c r="D782" s="434"/>
      <c r="E782" s="430" t="s">
        <v>757</v>
      </c>
      <c r="F782" s="435">
        <v>3</v>
      </c>
      <c r="G782" s="435">
        <v>1200</v>
      </c>
      <c r="H782" s="435">
        <v>10000</v>
      </c>
      <c r="I782" s="431" t="s">
        <v>778</v>
      </c>
      <c r="J782" s="432" t="s">
        <v>0</v>
      </c>
      <c r="K782" s="432">
        <v>-30</v>
      </c>
      <c r="L782" s="432">
        <v>70</v>
      </c>
      <c r="M782" s="441" t="s">
        <v>639</v>
      </c>
      <c r="N782" s="436">
        <v>80</v>
      </c>
      <c r="O782" s="435" t="s">
        <v>168</v>
      </c>
      <c r="P782" s="435" t="s">
        <v>168</v>
      </c>
      <c r="Q782" s="434">
        <f>C782*((100-Discounts!$B$64)/100)</f>
        <v>16.8</v>
      </c>
      <c r="R782" t="str">
        <f>IF(ISNUMBER(Table3[[#This Row],[Thickness]]), "Zenith", "")</f>
        <v>Zenith</v>
      </c>
      <c r="S782">
        <v>5</v>
      </c>
      <c r="T782">
        <v>250</v>
      </c>
    </row>
    <row r="783" spans="1:20" ht="27" thickBot="1" x14ac:dyDescent="0.9">
      <c r="A783" s="410"/>
      <c r="B783" s="411"/>
      <c r="C783" s="412" t="s">
        <v>597</v>
      </c>
      <c r="D783" s="413"/>
      <c r="E783" s="413"/>
      <c r="F783" s="414" t="s">
        <v>641</v>
      </c>
      <c r="G783" s="414">
        <v>0</v>
      </c>
      <c r="H783" s="338">
        <v>0</v>
      </c>
      <c r="I783" s="217" t="s">
        <v>778</v>
      </c>
      <c r="M783" s="419"/>
      <c r="N783" s="349"/>
      <c r="O783" s="338"/>
      <c r="P783" s="338"/>
      <c r="Q783" s="412" t="s">
        <v>323</v>
      </c>
      <c r="R783" t="str">
        <f>IF(ISNUMBER(Table3[[#This Row],[Thickness]]), "Zenith", "")</f>
        <v/>
      </c>
    </row>
    <row r="784" spans="1:20" ht="54" thickTop="1" thickBot="1" x14ac:dyDescent="0.9">
      <c r="A784" s="156" t="s">
        <v>322</v>
      </c>
      <c r="B784" s="309"/>
      <c r="C784" s="287" t="s">
        <v>179</v>
      </c>
      <c r="D784" s="318"/>
      <c r="E784" s="318"/>
      <c r="F784" s="285" t="s">
        <v>320</v>
      </c>
      <c r="G784" s="285" t="e">
        <v>#VALUE!</v>
      </c>
      <c r="H784" s="286" t="e">
        <v>#VALUE!</v>
      </c>
      <c r="I784" s="217" t="s">
        <v>778</v>
      </c>
      <c r="M784" s="289"/>
      <c r="N784" s="233"/>
      <c r="O784" s="286" t="s">
        <v>171</v>
      </c>
      <c r="P784" s="286" t="s">
        <v>325</v>
      </c>
      <c r="Q784" s="287" t="s">
        <v>199</v>
      </c>
      <c r="R784" t="str">
        <f>IF(ISNUMBER(Table3[[#This Row],[Thickness]]), "Zenith", "")</f>
        <v/>
      </c>
    </row>
    <row r="785" spans="1:20" ht="27" thickTop="1" x14ac:dyDescent="0.85">
      <c r="A785" s="429" t="s">
        <v>642</v>
      </c>
      <c r="B785" s="429" t="s">
        <v>768</v>
      </c>
      <c r="C785" s="430">
        <v>19</v>
      </c>
      <c r="D785" s="430"/>
      <c r="E785" s="430" t="s">
        <v>757</v>
      </c>
      <c r="F785" s="431">
        <v>3</v>
      </c>
      <c r="G785" s="431">
        <v>1000</v>
      </c>
      <c r="H785" s="431">
        <v>10000</v>
      </c>
      <c r="I785" s="431" t="s">
        <v>778</v>
      </c>
      <c r="J785" s="432" t="s">
        <v>0</v>
      </c>
      <c r="K785" s="432">
        <v>-30</v>
      </c>
      <c r="L785" s="432">
        <v>70</v>
      </c>
      <c r="M785" s="436" t="s">
        <v>577</v>
      </c>
      <c r="N785" s="436">
        <v>65</v>
      </c>
      <c r="O785" s="431" t="s">
        <v>168</v>
      </c>
      <c r="P785" s="431" t="s">
        <v>168</v>
      </c>
      <c r="Q785" s="430">
        <f>C785*((100-Discounts!$B$64)/100)</f>
        <v>7.6000000000000005</v>
      </c>
      <c r="R785" t="str">
        <f>IF(ISNUMBER(Table3[[#This Row],[Thickness]]), "Zenith", "")</f>
        <v>Zenith</v>
      </c>
      <c r="S785">
        <v>5</v>
      </c>
      <c r="T785">
        <v>250</v>
      </c>
    </row>
    <row r="786" spans="1:20" x14ac:dyDescent="0.85">
      <c r="A786" s="433" t="s">
        <v>642</v>
      </c>
      <c r="B786" s="429" t="s">
        <v>768</v>
      </c>
      <c r="C786" s="434">
        <v>19</v>
      </c>
      <c r="D786" s="434"/>
      <c r="E786" s="430" t="s">
        <v>757</v>
      </c>
      <c r="F786" s="435">
        <v>3</v>
      </c>
      <c r="G786" s="435">
        <v>1200</v>
      </c>
      <c r="H786" s="435">
        <v>10000</v>
      </c>
      <c r="I786" s="431" t="s">
        <v>778</v>
      </c>
      <c r="J786" s="432" t="s">
        <v>0</v>
      </c>
      <c r="K786" s="432">
        <v>-30</v>
      </c>
      <c r="L786" s="432">
        <v>70</v>
      </c>
      <c r="M786" s="436" t="s">
        <v>577</v>
      </c>
      <c r="N786" s="436">
        <v>65</v>
      </c>
      <c r="O786" s="435" t="s">
        <v>168</v>
      </c>
      <c r="P786" s="435" t="s">
        <v>168</v>
      </c>
      <c r="Q786" s="434">
        <f>C786*((100-Discounts!$B$64)/100)</f>
        <v>7.6000000000000005</v>
      </c>
      <c r="R786" t="str">
        <f>IF(ISNUMBER(Table3[[#This Row],[Thickness]]), "Zenith", "")</f>
        <v>Zenith</v>
      </c>
      <c r="S786">
        <v>5</v>
      </c>
      <c r="T786">
        <v>250</v>
      </c>
    </row>
    <row r="787" spans="1:20" x14ac:dyDescent="0.85">
      <c r="A787" s="429" t="s">
        <v>642</v>
      </c>
      <c r="B787" s="429" t="s">
        <v>768</v>
      </c>
      <c r="C787" s="430">
        <v>19</v>
      </c>
      <c r="D787" s="430"/>
      <c r="E787" s="430" t="s">
        <v>757</v>
      </c>
      <c r="F787" s="431">
        <v>3</v>
      </c>
      <c r="G787" s="431">
        <v>1400</v>
      </c>
      <c r="H787" s="431">
        <v>10000</v>
      </c>
      <c r="I787" s="431" t="s">
        <v>778</v>
      </c>
      <c r="J787" s="432" t="s">
        <v>0</v>
      </c>
      <c r="K787" s="432">
        <v>-30</v>
      </c>
      <c r="L787" s="432">
        <v>70</v>
      </c>
      <c r="M787" s="436" t="s">
        <v>577</v>
      </c>
      <c r="N787" s="436">
        <v>65</v>
      </c>
      <c r="O787" s="431" t="s">
        <v>168</v>
      </c>
      <c r="P787" s="431" t="s">
        <v>168</v>
      </c>
      <c r="Q787" s="430">
        <f>C787*((100-Discounts!$B$64)/100)</f>
        <v>7.6000000000000005</v>
      </c>
      <c r="R787" t="str">
        <f>IF(ISNUMBER(Table3[[#This Row],[Thickness]]), "Zenith", "")</f>
        <v>Zenith</v>
      </c>
      <c r="S787">
        <v>5</v>
      </c>
      <c r="T787">
        <v>250</v>
      </c>
    </row>
    <row r="788" spans="1:20" x14ac:dyDescent="0.85">
      <c r="A788" s="433" t="s">
        <v>642</v>
      </c>
      <c r="B788" s="429" t="s">
        <v>768</v>
      </c>
      <c r="C788" s="434">
        <v>19</v>
      </c>
      <c r="D788" s="434"/>
      <c r="E788" s="430" t="s">
        <v>757</v>
      </c>
      <c r="F788" s="435">
        <v>3</v>
      </c>
      <c r="G788" s="435">
        <v>1500</v>
      </c>
      <c r="H788" s="435">
        <v>10000</v>
      </c>
      <c r="I788" s="431" t="s">
        <v>778</v>
      </c>
      <c r="J788" s="432" t="s">
        <v>0</v>
      </c>
      <c r="K788" s="432">
        <v>-30</v>
      </c>
      <c r="L788" s="432">
        <v>70</v>
      </c>
      <c r="M788" s="436" t="s">
        <v>577</v>
      </c>
      <c r="N788" s="436">
        <v>65</v>
      </c>
      <c r="O788" s="435" t="s">
        <v>168</v>
      </c>
      <c r="P788" s="435" t="s">
        <v>168</v>
      </c>
      <c r="Q788" s="434">
        <f>C788*((100-Discounts!$B$64)/100)</f>
        <v>7.6000000000000005</v>
      </c>
      <c r="R788" t="str">
        <f>IF(ISNUMBER(Table3[[#This Row],[Thickness]]), "Zenith", "")</f>
        <v>Zenith</v>
      </c>
      <c r="S788">
        <v>5</v>
      </c>
      <c r="T788">
        <v>250</v>
      </c>
    </row>
    <row r="789" spans="1:20" ht="27" thickBot="1" x14ac:dyDescent="0.9">
      <c r="A789" s="410"/>
      <c r="B789" s="411"/>
      <c r="C789" s="412" t="s">
        <v>597</v>
      </c>
      <c r="D789" s="413"/>
      <c r="E789" s="413"/>
      <c r="F789" s="414" t="s">
        <v>643</v>
      </c>
      <c r="G789" s="414">
        <v>0</v>
      </c>
      <c r="H789" s="338">
        <v>0</v>
      </c>
      <c r="I789" s="217" t="s">
        <v>778</v>
      </c>
      <c r="M789" s="419"/>
      <c r="N789" s="349"/>
      <c r="O789" s="338"/>
      <c r="P789" s="338"/>
      <c r="Q789" s="412" t="s">
        <v>323</v>
      </c>
      <c r="R789" t="str">
        <f>IF(ISNUMBER(Table3[[#This Row],[Thickness]]), "Zenith", "")</f>
        <v/>
      </c>
    </row>
    <row r="790" spans="1:20" ht="54" thickTop="1" thickBot="1" x14ac:dyDescent="0.9">
      <c r="A790" s="156" t="s">
        <v>322</v>
      </c>
      <c r="B790" s="309"/>
      <c r="C790" s="287" t="s">
        <v>179</v>
      </c>
      <c r="D790" s="318"/>
      <c r="E790" s="318"/>
      <c r="F790" s="285" t="s">
        <v>320</v>
      </c>
      <c r="G790" s="285" t="e">
        <v>#VALUE!</v>
      </c>
      <c r="H790" s="286" t="e">
        <v>#VALUE!</v>
      </c>
      <c r="I790" s="217" t="s">
        <v>778</v>
      </c>
      <c r="M790" s="289"/>
      <c r="N790" s="233"/>
      <c r="O790" s="286" t="s">
        <v>171</v>
      </c>
      <c r="P790" s="286" t="s">
        <v>325</v>
      </c>
      <c r="Q790" s="287" t="s">
        <v>199</v>
      </c>
      <c r="R790" t="str">
        <f>IF(ISNUMBER(Table3[[#This Row],[Thickness]]), "Zenith", "")</f>
        <v/>
      </c>
    </row>
    <row r="791" spans="1:20" ht="27" thickTop="1" x14ac:dyDescent="0.85">
      <c r="A791" s="429" t="s">
        <v>644</v>
      </c>
      <c r="B791" s="429" t="s">
        <v>769</v>
      </c>
      <c r="C791" s="430">
        <v>23.25</v>
      </c>
      <c r="D791" s="430"/>
      <c r="E791" s="430" t="s">
        <v>757</v>
      </c>
      <c r="F791" s="431">
        <v>3</v>
      </c>
      <c r="G791" s="431">
        <v>1000</v>
      </c>
      <c r="H791" s="431">
        <v>10000</v>
      </c>
      <c r="I791" s="431" t="s">
        <v>778</v>
      </c>
      <c r="J791" s="432" t="s">
        <v>0</v>
      </c>
      <c r="K791" s="432">
        <v>-30</v>
      </c>
      <c r="L791" s="432">
        <v>70</v>
      </c>
      <c r="M791" s="436" t="s">
        <v>577</v>
      </c>
      <c r="N791" s="436">
        <v>65</v>
      </c>
      <c r="O791" s="431" t="s">
        <v>168</v>
      </c>
      <c r="P791" s="431" t="s">
        <v>168</v>
      </c>
      <c r="Q791" s="430">
        <f>C791*((100-Discounts!$B$65)/100)</f>
        <v>9.3000000000000007</v>
      </c>
      <c r="R791" t="str">
        <f>IF(ISNUMBER(Table3[[#This Row],[Thickness]]), "Zenith", "")</f>
        <v>Zenith</v>
      </c>
      <c r="S791">
        <v>3.5</v>
      </c>
      <c r="T791">
        <v>250</v>
      </c>
    </row>
    <row r="792" spans="1:20" x14ac:dyDescent="0.85">
      <c r="A792" s="433" t="s">
        <v>644</v>
      </c>
      <c r="B792" s="429" t="s">
        <v>769</v>
      </c>
      <c r="C792" s="434">
        <v>23.25</v>
      </c>
      <c r="D792" s="434"/>
      <c r="E792" s="430" t="s">
        <v>757</v>
      </c>
      <c r="F792" s="435">
        <v>3</v>
      </c>
      <c r="G792" s="435">
        <v>1200</v>
      </c>
      <c r="H792" s="435">
        <v>10000</v>
      </c>
      <c r="I792" s="431" t="s">
        <v>778</v>
      </c>
      <c r="J792" s="432" t="s">
        <v>0</v>
      </c>
      <c r="K792" s="432">
        <v>-30</v>
      </c>
      <c r="L792" s="432">
        <v>70</v>
      </c>
      <c r="M792" s="436" t="s">
        <v>577</v>
      </c>
      <c r="N792" s="436">
        <v>65</v>
      </c>
      <c r="O792" s="435" t="s">
        <v>168</v>
      </c>
      <c r="P792" s="435" t="s">
        <v>168</v>
      </c>
      <c r="Q792" s="434">
        <f>C792*((100-Discounts!$B$65)/100)</f>
        <v>9.3000000000000007</v>
      </c>
      <c r="R792" t="str">
        <f>IF(ISNUMBER(Table3[[#This Row],[Thickness]]), "Zenith", "")</f>
        <v>Zenith</v>
      </c>
      <c r="S792">
        <v>3.5</v>
      </c>
      <c r="T792">
        <v>250</v>
      </c>
    </row>
    <row r="793" spans="1:20" x14ac:dyDescent="0.85">
      <c r="A793" s="429" t="s">
        <v>644</v>
      </c>
      <c r="B793" s="429" t="s">
        <v>769</v>
      </c>
      <c r="C793" s="430">
        <v>23.25</v>
      </c>
      <c r="D793" s="430"/>
      <c r="E793" s="430" t="s">
        <v>757</v>
      </c>
      <c r="F793" s="431">
        <v>3</v>
      </c>
      <c r="G793" s="431">
        <v>1400</v>
      </c>
      <c r="H793" s="431">
        <v>10000</v>
      </c>
      <c r="I793" s="431" t="s">
        <v>778</v>
      </c>
      <c r="J793" s="432" t="s">
        <v>0</v>
      </c>
      <c r="K793" s="432">
        <v>-30</v>
      </c>
      <c r="L793" s="432">
        <v>70</v>
      </c>
      <c r="M793" s="436" t="s">
        <v>577</v>
      </c>
      <c r="N793" s="436">
        <v>65</v>
      </c>
      <c r="O793" s="431" t="s">
        <v>168</v>
      </c>
      <c r="P793" s="431" t="s">
        <v>168</v>
      </c>
      <c r="Q793" s="430">
        <f>C793*((100-Discounts!$B$65)/100)</f>
        <v>9.3000000000000007</v>
      </c>
      <c r="R793" t="str">
        <f>IF(ISNUMBER(Table3[[#This Row],[Thickness]]), "Zenith", "")</f>
        <v>Zenith</v>
      </c>
      <c r="S793">
        <v>3.5</v>
      </c>
      <c r="T793">
        <v>250</v>
      </c>
    </row>
    <row r="794" spans="1:20" x14ac:dyDescent="0.85">
      <c r="A794" s="433" t="s">
        <v>645</v>
      </c>
      <c r="B794" s="429" t="s">
        <v>769</v>
      </c>
      <c r="C794" s="434">
        <v>28.75</v>
      </c>
      <c r="D794" s="434"/>
      <c r="E794" s="430" t="s">
        <v>757</v>
      </c>
      <c r="F794" s="435">
        <v>3</v>
      </c>
      <c r="G794" s="435">
        <v>1400</v>
      </c>
      <c r="H794" s="435">
        <v>10000</v>
      </c>
      <c r="I794" s="431" t="s">
        <v>778</v>
      </c>
      <c r="J794" s="432" t="s">
        <v>0</v>
      </c>
      <c r="K794" s="432">
        <v>-30</v>
      </c>
      <c r="L794" s="432">
        <v>70</v>
      </c>
      <c r="M794" s="436" t="s">
        <v>577</v>
      </c>
      <c r="N794" s="436">
        <v>65</v>
      </c>
      <c r="O794" s="435">
        <v>1</v>
      </c>
      <c r="P794" s="435" t="s">
        <v>172</v>
      </c>
      <c r="Q794" s="434">
        <f>C794*((100-Discounts!$B$65)/100)</f>
        <v>11.5</v>
      </c>
      <c r="R794" t="str">
        <f>IF(ISNUMBER(Table3[[#This Row],[Thickness]]), "Zenith", "")</f>
        <v>Zenith</v>
      </c>
      <c r="S794">
        <v>3.5</v>
      </c>
      <c r="T794">
        <v>250</v>
      </c>
    </row>
    <row r="795" spans="1:20" x14ac:dyDescent="0.85">
      <c r="A795" s="429" t="s">
        <v>644</v>
      </c>
      <c r="B795" s="429" t="s">
        <v>769</v>
      </c>
      <c r="C795" s="430">
        <v>23.25</v>
      </c>
      <c r="D795" s="430"/>
      <c r="E795" s="430" t="s">
        <v>757</v>
      </c>
      <c r="F795" s="431">
        <v>3</v>
      </c>
      <c r="G795" s="431">
        <v>1500</v>
      </c>
      <c r="H795" s="431">
        <v>10000</v>
      </c>
      <c r="I795" s="431" t="s">
        <v>778</v>
      </c>
      <c r="J795" s="432" t="s">
        <v>0</v>
      </c>
      <c r="K795" s="432">
        <v>-30</v>
      </c>
      <c r="L795" s="432">
        <v>70</v>
      </c>
      <c r="M795" s="436" t="s">
        <v>577</v>
      </c>
      <c r="N795" s="436">
        <v>65</v>
      </c>
      <c r="O795" s="431" t="s">
        <v>168</v>
      </c>
      <c r="P795" s="431" t="s">
        <v>168</v>
      </c>
      <c r="Q795" s="430">
        <f>C795*((100-Discounts!$B$65)/100)</f>
        <v>9.3000000000000007</v>
      </c>
      <c r="R795" t="str">
        <f>IF(ISNUMBER(Table3[[#This Row],[Thickness]]), "Zenith", "")</f>
        <v>Zenith</v>
      </c>
      <c r="S795">
        <v>3.5</v>
      </c>
      <c r="T795">
        <v>250</v>
      </c>
    </row>
    <row r="796" spans="1:20" x14ac:dyDescent="0.85">
      <c r="A796" s="433" t="s">
        <v>644</v>
      </c>
      <c r="B796" s="429" t="s">
        <v>769</v>
      </c>
      <c r="C796" s="434">
        <v>23.25</v>
      </c>
      <c r="D796" s="434"/>
      <c r="E796" s="430" t="s">
        <v>757</v>
      </c>
      <c r="F796" s="435">
        <v>3</v>
      </c>
      <c r="G796" s="435">
        <v>1600</v>
      </c>
      <c r="H796" s="435">
        <v>10000</v>
      </c>
      <c r="I796" s="431" t="s">
        <v>778</v>
      </c>
      <c r="J796" s="432" t="s">
        <v>0</v>
      </c>
      <c r="K796" s="432">
        <v>-30</v>
      </c>
      <c r="L796" s="432">
        <v>70</v>
      </c>
      <c r="M796" s="436" t="s">
        <v>577</v>
      </c>
      <c r="N796" s="436">
        <v>65</v>
      </c>
      <c r="O796" s="435" t="s">
        <v>168</v>
      </c>
      <c r="P796" s="435" t="s">
        <v>168</v>
      </c>
      <c r="Q796" s="434">
        <f>C796*((100-Discounts!$B$65)/100)</f>
        <v>9.3000000000000007</v>
      </c>
      <c r="R796" t="str">
        <f>IF(ISNUMBER(Table3[[#This Row],[Thickness]]), "Zenith", "")</f>
        <v>Zenith</v>
      </c>
      <c r="S796">
        <v>3.5</v>
      </c>
      <c r="T796">
        <v>250</v>
      </c>
    </row>
    <row r="797" spans="1:20" x14ac:dyDescent="0.85">
      <c r="A797" s="429" t="s">
        <v>644</v>
      </c>
      <c r="B797" s="429" t="s">
        <v>769</v>
      </c>
      <c r="C797" s="430">
        <v>23.25</v>
      </c>
      <c r="D797" s="430"/>
      <c r="E797" s="430" t="s">
        <v>757</v>
      </c>
      <c r="F797" s="431">
        <v>5</v>
      </c>
      <c r="G797" s="431">
        <v>1400</v>
      </c>
      <c r="H797" s="431">
        <v>10000</v>
      </c>
      <c r="I797" s="431" t="s">
        <v>778</v>
      </c>
      <c r="J797" s="432" t="s">
        <v>0</v>
      </c>
      <c r="K797" s="432">
        <v>-30</v>
      </c>
      <c r="L797" s="432">
        <v>70</v>
      </c>
      <c r="M797" s="436" t="s">
        <v>577</v>
      </c>
      <c r="N797" s="436">
        <v>65</v>
      </c>
      <c r="O797" s="431" t="s">
        <v>168</v>
      </c>
      <c r="P797" s="431" t="s">
        <v>168</v>
      </c>
      <c r="Q797" s="430">
        <f>C797*((100-Discounts!$B$65)/100)</f>
        <v>9.3000000000000007</v>
      </c>
      <c r="R797" t="str">
        <f>IF(ISNUMBER(Table3[[#This Row],[Thickness]]), "Zenith", "")</f>
        <v>Zenith</v>
      </c>
      <c r="S797">
        <v>3.5</v>
      </c>
      <c r="T797">
        <v>250</v>
      </c>
    </row>
    <row r="798" spans="1:20" ht="27" thickBot="1" x14ac:dyDescent="0.9">
      <c r="A798" s="410"/>
      <c r="B798" s="411"/>
      <c r="C798" s="412" t="s">
        <v>597</v>
      </c>
      <c r="D798" s="413"/>
      <c r="E798" s="413"/>
      <c r="F798" s="414" t="s">
        <v>646</v>
      </c>
      <c r="G798" s="414">
        <v>0</v>
      </c>
      <c r="H798" s="338">
        <v>0</v>
      </c>
      <c r="I798" s="217" t="s">
        <v>778</v>
      </c>
      <c r="M798" s="420"/>
      <c r="N798" s="343"/>
      <c r="O798" s="338"/>
      <c r="P798" s="338"/>
      <c r="Q798" s="412" t="s">
        <v>323</v>
      </c>
      <c r="R798" t="str">
        <f>IF(ISNUMBER(Table3[[#This Row],[Thickness]]), "Zenith", "")</f>
        <v/>
      </c>
    </row>
    <row r="799" spans="1:20" ht="54" thickTop="1" thickBot="1" x14ac:dyDescent="0.9">
      <c r="A799" s="156" t="s">
        <v>322</v>
      </c>
      <c r="B799" s="309"/>
      <c r="C799" s="287" t="s">
        <v>179</v>
      </c>
      <c r="D799" s="318"/>
      <c r="E799" s="318"/>
      <c r="F799" s="285" t="s">
        <v>320</v>
      </c>
      <c r="G799" s="285" t="e">
        <v>#VALUE!</v>
      </c>
      <c r="H799" s="286" t="e">
        <v>#VALUE!</v>
      </c>
      <c r="I799" s="217" t="s">
        <v>778</v>
      </c>
      <c r="M799" s="290"/>
      <c r="N799" s="230"/>
      <c r="O799" s="286" t="s">
        <v>171</v>
      </c>
      <c r="P799" s="286" t="s">
        <v>325</v>
      </c>
      <c r="Q799" s="287" t="s">
        <v>199</v>
      </c>
      <c r="R799" t="str">
        <f>IF(ISNUMBER(Table3[[#This Row],[Thickness]]), "Zenith", "")</f>
        <v/>
      </c>
    </row>
    <row r="800" spans="1:20" ht="27" thickTop="1" x14ac:dyDescent="0.85">
      <c r="A800" s="429" t="s">
        <v>649</v>
      </c>
      <c r="B800" s="429" t="s">
        <v>770</v>
      </c>
      <c r="C800" s="430">
        <v>34.25</v>
      </c>
      <c r="D800" s="430"/>
      <c r="E800" s="430" t="s">
        <v>757</v>
      </c>
      <c r="F800" s="431">
        <v>3</v>
      </c>
      <c r="G800" s="431">
        <v>1400</v>
      </c>
      <c r="H800" s="431">
        <v>10000</v>
      </c>
      <c r="I800" s="431" t="s">
        <v>778</v>
      </c>
      <c r="J800" s="432" t="s">
        <v>0</v>
      </c>
      <c r="K800" s="432">
        <v>-30</v>
      </c>
      <c r="L800" s="432">
        <v>70</v>
      </c>
      <c r="M800" s="436" t="s">
        <v>572</v>
      </c>
      <c r="N800" s="436">
        <v>65</v>
      </c>
      <c r="O800" s="431" t="s">
        <v>168</v>
      </c>
      <c r="P800" s="431" t="s">
        <v>168</v>
      </c>
      <c r="Q800" s="430">
        <f>C800*((100-Discounts!$B$65)/100)</f>
        <v>13.700000000000001</v>
      </c>
      <c r="R800" t="str">
        <f>IF(ISNUMBER(Table3[[#This Row],[Thickness]]), "Zenith", "")</f>
        <v>Zenith</v>
      </c>
      <c r="S800">
        <v>3.5</v>
      </c>
      <c r="T800">
        <v>250</v>
      </c>
    </row>
    <row r="801" spans="1:20" x14ac:dyDescent="0.85">
      <c r="A801" s="433" t="s">
        <v>647</v>
      </c>
      <c r="B801" s="429" t="s">
        <v>770</v>
      </c>
      <c r="C801" s="434">
        <v>37</v>
      </c>
      <c r="D801" s="434"/>
      <c r="E801" s="430" t="s">
        <v>757</v>
      </c>
      <c r="F801" s="435">
        <v>3</v>
      </c>
      <c r="G801" s="435">
        <v>1500</v>
      </c>
      <c r="H801" s="435">
        <v>10000</v>
      </c>
      <c r="I801" s="431" t="s">
        <v>778</v>
      </c>
      <c r="J801" s="432" t="s">
        <v>0</v>
      </c>
      <c r="K801" s="432">
        <v>-30</v>
      </c>
      <c r="L801" s="432">
        <v>70</v>
      </c>
      <c r="M801" s="436" t="s">
        <v>648</v>
      </c>
      <c r="N801" s="436">
        <v>65</v>
      </c>
      <c r="O801" s="435" t="s">
        <v>168</v>
      </c>
      <c r="P801" s="435" t="s">
        <v>168</v>
      </c>
      <c r="Q801" s="434">
        <f>C801*((100-Discounts!$B$65)/100)</f>
        <v>14.8</v>
      </c>
      <c r="R801" t="str">
        <f>IF(ISNUMBER(Table3[[#This Row],[Thickness]]), "Zenith", "")</f>
        <v>Zenith</v>
      </c>
      <c r="S801">
        <v>3.5</v>
      </c>
      <c r="T801">
        <v>250</v>
      </c>
    </row>
    <row r="802" spans="1:20" x14ac:dyDescent="0.85">
      <c r="A802" s="429" t="s">
        <v>650</v>
      </c>
      <c r="B802" s="429" t="s">
        <v>770</v>
      </c>
      <c r="C802" s="430">
        <v>37</v>
      </c>
      <c r="D802" s="430"/>
      <c r="E802" s="430" t="s">
        <v>757</v>
      </c>
      <c r="F802" s="431">
        <v>3</v>
      </c>
      <c r="G802" s="431">
        <v>1500</v>
      </c>
      <c r="H802" s="431">
        <v>10000</v>
      </c>
      <c r="I802" s="431" t="s">
        <v>778</v>
      </c>
      <c r="J802" s="432" t="s">
        <v>0</v>
      </c>
      <c r="K802" s="432">
        <v>-30</v>
      </c>
      <c r="L802" s="432">
        <v>70</v>
      </c>
      <c r="M802" s="436" t="s">
        <v>639</v>
      </c>
      <c r="N802" s="436">
        <v>65</v>
      </c>
      <c r="O802" s="431" t="s">
        <v>168</v>
      </c>
      <c r="P802" s="431" t="s">
        <v>168</v>
      </c>
      <c r="Q802" s="430">
        <f>C802*((100-Discounts!$B$65)/100)</f>
        <v>14.8</v>
      </c>
      <c r="R802" t="str">
        <f>IF(ISNUMBER(Table3[[#This Row],[Thickness]]), "Zenith", "")</f>
        <v>Zenith</v>
      </c>
      <c r="S802">
        <v>3.5</v>
      </c>
      <c r="T802">
        <v>250</v>
      </c>
    </row>
    <row r="803" spans="1:20" ht="27" thickBot="1" x14ac:dyDescent="0.9">
      <c r="A803" s="410"/>
      <c r="B803" s="411"/>
      <c r="C803" s="412" t="s">
        <v>597</v>
      </c>
      <c r="D803" s="413"/>
      <c r="E803" s="413"/>
      <c r="F803" s="414" t="s">
        <v>658</v>
      </c>
      <c r="G803" s="414">
        <v>0</v>
      </c>
      <c r="H803" s="338">
        <v>0</v>
      </c>
      <c r="I803" s="217" t="s">
        <v>778</v>
      </c>
      <c r="M803" s="419"/>
      <c r="N803" s="349"/>
      <c r="O803" s="338"/>
      <c r="P803" s="338"/>
      <c r="Q803" s="412" t="s">
        <v>323</v>
      </c>
      <c r="R803" t="str">
        <f>IF(ISNUMBER(Table3[[#This Row],[Thickness]]), "Zenith", "")</f>
        <v/>
      </c>
    </row>
    <row r="804" spans="1:20" ht="54" thickTop="1" thickBot="1" x14ac:dyDescent="0.9">
      <c r="A804" s="156" t="s">
        <v>322</v>
      </c>
      <c r="B804" s="309"/>
      <c r="C804" s="287" t="s">
        <v>701</v>
      </c>
      <c r="D804" s="318"/>
      <c r="E804" s="318"/>
      <c r="F804" s="285" t="s">
        <v>320</v>
      </c>
      <c r="G804" s="285" t="e">
        <v>#VALUE!</v>
      </c>
      <c r="H804" s="286" t="e">
        <v>#VALUE!</v>
      </c>
      <c r="I804" s="217" t="s">
        <v>778</v>
      </c>
      <c r="M804" s="291"/>
      <c r="N804" s="233"/>
      <c r="O804" s="286" t="s">
        <v>171</v>
      </c>
      <c r="P804" s="286" t="s">
        <v>325</v>
      </c>
      <c r="Q804" s="287" t="s">
        <v>700</v>
      </c>
      <c r="R804" t="str">
        <f>IF(ISNUMBER(Table3[[#This Row],[Thickness]]), "Zenith", "")</f>
        <v/>
      </c>
    </row>
    <row r="805" spans="1:20" ht="27" thickTop="1" x14ac:dyDescent="0.85">
      <c r="A805" s="429" t="s">
        <v>652</v>
      </c>
      <c r="B805" s="429" t="s">
        <v>771</v>
      </c>
      <c r="C805" s="430">
        <v>7</v>
      </c>
      <c r="D805" s="430"/>
      <c r="E805" s="430" t="s">
        <v>758</v>
      </c>
      <c r="F805" s="431">
        <v>3</v>
      </c>
      <c r="G805" s="431">
        <v>400</v>
      </c>
      <c r="H805" s="431">
        <v>10000</v>
      </c>
      <c r="I805" s="431" t="s">
        <v>778</v>
      </c>
      <c r="J805" s="432" t="s">
        <v>0</v>
      </c>
      <c r="K805" s="432">
        <v>-30</v>
      </c>
      <c r="L805" s="432">
        <v>70</v>
      </c>
      <c r="M805" s="436" t="s">
        <v>577</v>
      </c>
      <c r="N805" s="436">
        <v>65</v>
      </c>
      <c r="O805" s="431" t="s">
        <v>168</v>
      </c>
      <c r="P805" s="431" t="s">
        <v>168</v>
      </c>
      <c r="Q805" s="430">
        <f>C805*((100-Discounts!$B$66)/100)</f>
        <v>2.8000000000000003</v>
      </c>
      <c r="R805" t="str">
        <f>IF(ISNUMBER(Table3[[#This Row],[Thickness]]), "Zenith", "")</f>
        <v>Zenith</v>
      </c>
      <c r="S805">
        <v>3</v>
      </c>
      <c r="T805">
        <v>200</v>
      </c>
    </row>
    <row r="806" spans="1:20" x14ac:dyDescent="0.85">
      <c r="A806" s="433" t="s">
        <v>653</v>
      </c>
      <c r="B806" s="429" t="s">
        <v>771</v>
      </c>
      <c r="C806" s="434">
        <v>8.75</v>
      </c>
      <c r="D806" s="434"/>
      <c r="E806" s="430" t="s">
        <v>758</v>
      </c>
      <c r="F806" s="435">
        <v>3</v>
      </c>
      <c r="G806" s="435">
        <v>500</v>
      </c>
      <c r="H806" s="435">
        <v>10000</v>
      </c>
      <c r="I806" s="431" t="s">
        <v>778</v>
      </c>
      <c r="J806" s="432" t="s">
        <v>0</v>
      </c>
      <c r="K806" s="432">
        <v>-30</v>
      </c>
      <c r="L806" s="432">
        <v>70</v>
      </c>
      <c r="M806" s="436" t="s">
        <v>577</v>
      </c>
      <c r="N806" s="436">
        <v>65</v>
      </c>
      <c r="O806" s="435" t="s">
        <v>168</v>
      </c>
      <c r="P806" s="435" t="s">
        <v>168</v>
      </c>
      <c r="Q806" s="434">
        <f>C806*((100-Discounts!$B$66)/100)</f>
        <v>3.5</v>
      </c>
      <c r="R806" t="str">
        <f>IF(ISNUMBER(Table3[[#This Row],[Thickness]]), "Zenith", "")</f>
        <v>Zenith</v>
      </c>
      <c r="S806">
        <v>3</v>
      </c>
      <c r="T806">
        <v>200</v>
      </c>
    </row>
    <row r="807" spans="1:20" x14ac:dyDescent="0.85">
      <c r="A807" s="429" t="s">
        <v>654</v>
      </c>
      <c r="B807" s="429" t="s">
        <v>771</v>
      </c>
      <c r="C807" s="430">
        <v>10.5</v>
      </c>
      <c r="D807" s="430"/>
      <c r="E807" s="430" t="s">
        <v>758</v>
      </c>
      <c r="F807" s="431">
        <v>3</v>
      </c>
      <c r="G807" s="431">
        <v>600</v>
      </c>
      <c r="H807" s="431">
        <v>10000</v>
      </c>
      <c r="I807" s="431" t="s">
        <v>778</v>
      </c>
      <c r="J807" s="432" t="s">
        <v>0</v>
      </c>
      <c r="K807" s="432">
        <v>-30</v>
      </c>
      <c r="L807" s="432">
        <v>70</v>
      </c>
      <c r="M807" s="436" t="s">
        <v>577</v>
      </c>
      <c r="N807" s="436">
        <v>65</v>
      </c>
      <c r="O807" s="431" t="s">
        <v>168</v>
      </c>
      <c r="P807" s="431" t="s">
        <v>168</v>
      </c>
      <c r="Q807" s="430">
        <f>C807*((100-Discounts!$B$66)/100)</f>
        <v>4.2</v>
      </c>
      <c r="R807" t="str">
        <f>IF(ISNUMBER(Table3[[#This Row],[Thickness]]), "Zenith", "")</f>
        <v>Zenith</v>
      </c>
      <c r="S807">
        <v>3</v>
      </c>
      <c r="T807">
        <v>200</v>
      </c>
    </row>
    <row r="808" spans="1:20" x14ac:dyDescent="0.85">
      <c r="A808" s="433" t="s">
        <v>655</v>
      </c>
      <c r="B808" s="429" t="s">
        <v>771</v>
      </c>
      <c r="C808" s="434">
        <v>12.25</v>
      </c>
      <c r="D808" s="434"/>
      <c r="E808" s="430" t="s">
        <v>758</v>
      </c>
      <c r="F808" s="435">
        <v>3</v>
      </c>
      <c r="G808" s="435">
        <v>700</v>
      </c>
      <c r="H808" s="435">
        <v>10000</v>
      </c>
      <c r="I808" s="431" t="s">
        <v>778</v>
      </c>
      <c r="J808" s="432" t="s">
        <v>0</v>
      </c>
      <c r="K808" s="432">
        <v>-30</v>
      </c>
      <c r="L808" s="432">
        <v>70</v>
      </c>
      <c r="M808" s="436" t="s">
        <v>577</v>
      </c>
      <c r="N808" s="436">
        <v>65</v>
      </c>
      <c r="O808" s="435" t="s">
        <v>168</v>
      </c>
      <c r="P808" s="435" t="s">
        <v>168</v>
      </c>
      <c r="Q808" s="434">
        <f>C808*((100-Discounts!$B$66)/100)</f>
        <v>4.9000000000000004</v>
      </c>
      <c r="R808" t="str">
        <f>IF(ISNUMBER(Table3[[#This Row],[Thickness]]), "Zenith", "")</f>
        <v>Zenith</v>
      </c>
      <c r="S808">
        <v>3</v>
      </c>
      <c r="T808">
        <v>200</v>
      </c>
    </row>
    <row r="809" spans="1:20" x14ac:dyDescent="0.85">
      <c r="A809" s="429" t="s">
        <v>656</v>
      </c>
      <c r="B809" s="429" t="s">
        <v>771</v>
      </c>
      <c r="C809" s="430">
        <v>14</v>
      </c>
      <c r="D809" s="430"/>
      <c r="E809" s="430" t="s">
        <v>758</v>
      </c>
      <c r="F809" s="431">
        <v>3</v>
      </c>
      <c r="G809" s="431">
        <v>800</v>
      </c>
      <c r="H809" s="431">
        <v>10000</v>
      </c>
      <c r="I809" s="431" t="s">
        <v>778</v>
      </c>
      <c r="J809" s="432" t="s">
        <v>0</v>
      </c>
      <c r="K809" s="432">
        <v>-30</v>
      </c>
      <c r="L809" s="432">
        <v>70</v>
      </c>
      <c r="M809" s="436" t="s">
        <v>577</v>
      </c>
      <c r="N809" s="436">
        <v>65</v>
      </c>
      <c r="O809" s="431" t="s">
        <v>168</v>
      </c>
      <c r="P809" s="431" t="s">
        <v>168</v>
      </c>
      <c r="Q809" s="430">
        <f>C809*((100-Discounts!$B$66)/100)</f>
        <v>5.6000000000000005</v>
      </c>
      <c r="R809" t="str">
        <f>IF(ISNUMBER(Table3[[#This Row],[Thickness]]), "Zenith", "")</f>
        <v>Zenith</v>
      </c>
      <c r="S809">
        <v>3</v>
      </c>
      <c r="T809">
        <v>200</v>
      </c>
    </row>
    <row r="810" spans="1:20" ht="27" thickBot="1" x14ac:dyDescent="0.9">
      <c r="A810" s="410"/>
      <c r="B810" s="411"/>
      <c r="C810" s="412" t="s">
        <v>597</v>
      </c>
      <c r="D810" s="413"/>
      <c r="E810" s="413"/>
      <c r="F810" s="414" t="s">
        <v>658</v>
      </c>
      <c r="G810" s="414">
        <v>0</v>
      </c>
      <c r="H810" s="338">
        <v>0</v>
      </c>
      <c r="I810" s="217" t="s">
        <v>778</v>
      </c>
      <c r="M810" s="417"/>
      <c r="N810" s="343"/>
      <c r="O810" s="338"/>
      <c r="P810" s="338"/>
      <c r="Q810" s="412" t="s">
        <v>323</v>
      </c>
      <c r="R810" t="str">
        <f>IF(ISNUMBER(Table3[[#This Row],[Thickness]]), "Zenith", "")</f>
        <v/>
      </c>
    </row>
    <row r="811" spans="1:20" ht="54" thickTop="1" thickBot="1" x14ac:dyDescent="0.9">
      <c r="A811" s="156" t="s">
        <v>322</v>
      </c>
      <c r="B811" s="309"/>
      <c r="C811" s="287" t="s">
        <v>179</v>
      </c>
      <c r="D811" s="318"/>
      <c r="E811" s="318"/>
      <c r="F811" s="285" t="s">
        <v>320</v>
      </c>
      <c r="G811" s="285" t="e">
        <v>#VALUE!</v>
      </c>
      <c r="H811" s="286" t="e">
        <v>#VALUE!</v>
      </c>
      <c r="I811" s="217" t="s">
        <v>778</v>
      </c>
      <c r="M811" s="290"/>
      <c r="N811" s="230"/>
      <c r="O811" s="286" t="s">
        <v>171</v>
      </c>
      <c r="P811" s="286" t="s">
        <v>325</v>
      </c>
      <c r="Q811" s="287" t="s">
        <v>199</v>
      </c>
      <c r="R811" t="str">
        <f>IF(ISNUMBER(Table3[[#This Row],[Thickness]]), "Zenith", "")</f>
        <v/>
      </c>
    </row>
    <row r="812" spans="1:20" ht="27" thickTop="1" x14ac:dyDescent="0.85">
      <c r="A812" s="429" t="s">
        <v>651</v>
      </c>
      <c r="B812" s="429" t="s">
        <v>771</v>
      </c>
      <c r="C812" s="430">
        <v>16.75</v>
      </c>
      <c r="D812" s="430"/>
      <c r="E812" s="430" t="s">
        <v>757</v>
      </c>
      <c r="F812" s="431">
        <v>3</v>
      </c>
      <c r="G812" s="431">
        <v>1000</v>
      </c>
      <c r="H812" s="431">
        <v>10000</v>
      </c>
      <c r="I812" s="431" t="s">
        <v>778</v>
      </c>
      <c r="J812" s="432" t="s">
        <v>0</v>
      </c>
      <c r="K812" s="432">
        <v>-30</v>
      </c>
      <c r="L812" s="432">
        <v>70</v>
      </c>
      <c r="M812" s="436" t="s">
        <v>577</v>
      </c>
      <c r="N812" s="436">
        <v>65</v>
      </c>
      <c r="O812" s="431" t="s">
        <v>168</v>
      </c>
      <c r="P812" s="431" t="s">
        <v>168</v>
      </c>
      <c r="Q812" s="430">
        <f>C812*((100-Discounts!$B$66)/100)</f>
        <v>6.7</v>
      </c>
      <c r="R812" t="str">
        <f>IF(ISNUMBER(Table3[[#This Row],[Thickness]]), "Zenith", "")</f>
        <v>Zenith</v>
      </c>
      <c r="S812">
        <v>3</v>
      </c>
      <c r="T812">
        <v>200</v>
      </c>
    </row>
    <row r="813" spans="1:20" x14ac:dyDescent="0.85">
      <c r="A813" s="433" t="s">
        <v>651</v>
      </c>
      <c r="B813" s="429" t="s">
        <v>771</v>
      </c>
      <c r="C813" s="434">
        <v>16.75</v>
      </c>
      <c r="D813" s="434"/>
      <c r="E813" s="430" t="s">
        <v>757</v>
      </c>
      <c r="F813" s="435">
        <v>3</v>
      </c>
      <c r="G813" s="435">
        <v>1200</v>
      </c>
      <c r="H813" s="435">
        <v>10000</v>
      </c>
      <c r="I813" s="431" t="s">
        <v>778</v>
      </c>
      <c r="J813" s="432" t="s">
        <v>0</v>
      </c>
      <c r="K813" s="432">
        <v>-30</v>
      </c>
      <c r="L813" s="432">
        <v>70</v>
      </c>
      <c r="M813" s="436" t="s">
        <v>577</v>
      </c>
      <c r="N813" s="436">
        <v>65</v>
      </c>
      <c r="O813" s="435" t="s">
        <v>168</v>
      </c>
      <c r="P813" s="435" t="s">
        <v>168</v>
      </c>
      <c r="Q813" s="434">
        <f>C813*((100-Discounts!$B$66)/100)</f>
        <v>6.7</v>
      </c>
      <c r="R813" t="str">
        <f>IF(ISNUMBER(Table3[[#This Row],[Thickness]]), "Zenith", "")</f>
        <v>Zenith</v>
      </c>
      <c r="S813">
        <v>3</v>
      </c>
      <c r="T813">
        <v>200</v>
      </c>
    </row>
    <row r="814" spans="1:20" x14ac:dyDescent="0.85">
      <c r="A814" s="429" t="s">
        <v>651</v>
      </c>
      <c r="B814" s="429" t="s">
        <v>771</v>
      </c>
      <c r="C814" s="430">
        <v>16.75</v>
      </c>
      <c r="D814" s="430"/>
      <c r="E814" s="430" t="s">
        <v>757</v>
      </c>
      <c r="F814" s="431">
        <v>3</v>
      </c>
      <c r="G814" s="431">
        <v>1400</v>
      </c>
      <c r="H814" s="431">
        <v>10000</v>
      </c>
      <c r="I814" s="431" t="s">
        <v>778</v>
      </c>
      <c r="J814" s="432" t="s">
        <v>0</v>
      </c>
      <c r="K814" s="432">
        <v>-30</v>
      </c>
      <c r="L814" s="432">
        <v>70</v>
      </c>
      <c r="M814" s="436" t="s">
        <v>577</v>
      </c>
      <c r="N814" s="436">
        <v>65</v>
      </c>
      <c r="O814" s="431" t="s">
        <v>168</v>
      </c>
      <c r="P814" s="431" t="s">
        <v>168</v>
      </c>
      <c r="Q814" s="430">
        <f>C814*((100-Discounts!$B$66)/100)</f>
        <v>6.7</v>
      </c>
      <c r="R814" t="str">
        <f>IF(ISNUMBER(Table3[[#This Row],[Thickness]]), "Zenith", "")</f>
        <v>Zenith</v>
      </c>
      <c r="S814">
        <v>3</v>
      </c>
      <c r="T814">
        <v>200</v>
      </c>
    </row>
    <row r="815" spans="1:20" x14ac:dyDescent="0.85">
      <c r="A815" s="433" t="s">
        <v>651</v>
      </c>
      <c r="B815" s="429" t="s">
        <v>771</v>
      </c>
      <c r="C815" s="434">
        <v>16.75</v>
      </c>
      <c r="D815" s="434"/>
      <c r="E815" s="430" t="s">
        <v>757</v>
      </c>
      <c r="F815" s="435">
        <v>3</v>
      </c>
      <c r="G815" s="435">
        <v>1500</v>
      </c>
      <c r="H815" s="435">
        <v>10000</v>
      </c>
      <c r="I815" s="431" t="s">
        <v>778</v>
      </c>
      <c r="J815" s="432" t="s">
        <v>0</v>
      </c>
      <c r="K815" s="432">
        <v>-30</v>
      </c>
      <c r="L815" s="432">
        <v>70</v>
      </c>
      <c r="M815" s="436" t="s">
        <v>577</v>
      </c>
      <c r="N815" s="436">
        <v>65</v>
      </c>
      <c r="O815" s="435" t="s">
        <v>168</v>
      </c>
      <c r="P815" s="435" t="s">
        <v>168</v>
      </c>
      <c r="Q815" s="434">
        <f>C815*((100-Discounts!$B$66)/100)</f>
        <v>6.7</v>
      </c>
      <c r="R815" t="str">
        <f>IF(ISNUMBER(Table3[[#This Row],[Thickness]]), "Zenith", "")</f>
        <v>Zenith</v>
      </c>
      <c r="S815">
        <v>3</v>
      </c>
      <c r="T815">
        <v>200</v>
      </c>
    </row>
    <row r="816" spans="1:20" x14ac:dyDescent="0.85">
      <c r="A816" s="429" t="s">
        <v>651</v>
      </c>
      <c r="B816" s="429" t="s">
        <v>771</v>
      </c>
      <c r="C816" s="430">
        <v>16.75</v>
      </c>
      <c r="D816" s="430"/>
      <c r="E816" s="430" t="s">
        <v>757</v>
      </c>
      <c r="F816" s="431">
        <v>3</v>
      </c>
      <c r="G816" s="431">
        <v>1600</v>
      </c>
      <c r="H816" s="431">
        <v>10000</v>
      </c>
      <c r="I816" s="431" t="s">
        <v>778</v>
      </c>
      <c r="J816" s="432" t="s">
        <v>0</v>
      </c>
      <c r="K816" s="432">
        <v>-30</v>
      </c>
      <c r="L816" s="432">
        <v>70</v>
      </c>
      <c r="M816" s="436" t="s">
        <v>577</v>
      </c>
      <c r="N816" s="436">
        <v>65</v>
      </c>
      <c r="O816" s="431" t="s">
        <v>168</v>
      </c>
      <c r="P816" s="431" t="s">
        <v>168</v>
      </c>
      <c r="Q816" s="430">
        <f>C816*((100-Discounts!$B$66)/100)</f>
        <v>6.7</v>
      </c>
      <c r="R816" t="str">
        <f>IF(ISNUMBER(Table3[[#This Row],[Thickness]]), "Zenith", "")</f>
        <v>Zenith</v>
      </c>
      <c r="S816">
        <v>3</v>
      </c>
      <c r="T816">
        <v>200</v>
      </c>
    </row>
    <row r="817" spans="1:20" x14ac:dyDescent="0.85">
      <c r="A817" s="433" t="s">
        <v>657</v>
      </c>
      <c r="B817" s="429" t="s">
        <v>771</v>
      </c>
      <c r="C817" s="434">
        <v>19.5</v>
      </c>
      <c r="D817" s="434"/>
      <c r="E817" s="430" t="s">
        <v>757</v>
      </c>
      <c r="F817" s="435">
        <v>5</v>
      </c>
      <c r="G817" s="435">
        <v>1400</v>
      </c>
      <c r="H817" s="435">
        <v>10000</v>
      </c>
      <c r="I817" s="431" t="s">
        <v>778</v>
      </c>
      <c r="J817" s="432" t="s">
        <v>0</v>
      </c>
      <c r="K817" s="432">
        <v>-30</v>
      </c>
      <c r="L817" s="432">
        <v>70</v>
      </c>
      <c r="M817" s="436" t="s">
        <v>577</v>
      </c>
      <c r="N817" s="436">
        <v>65</v>
      </c>
      <c r="O817" s="435" t="s">
        <v>168</v>
      </c>
      <c r="P817" s="435" t="s">
        <v>168</v>
      </c>
      <c r="Q817" s="434">
        <f>C817*((100-Discounts!$B$66)/100)</f>
        <v>7.8000000000000007</v>
      </c>
      <c r="R817" t="str">
        <f>IF(ISNUMBER(Table3[[#This Row],[Thickness]]), "Zenith", "")</f>
        <v>Zenith</v>
      </c>
      <c r="S817">
        <v>3</v>
      </c>
      <c r="T817">
        <v>200</v>
      </c>
    </row>
    <row r="818" spans="1:20" ht="27" thickBot="1" x14ac:dyDescent="0.9">
      <c r="A818" s="410"/>
      <c r="B818" s="411"/>
      <c r="C818" s="412" t="s">
        <v>597</v>
      </c>
      <c r="D818" s="413"/>
      <c r="E818" s="413"/>
      <c r="F818" s="414" t="s">
        <v>660</v>
      </c>
      <c r="G818" s="414">
        <v>0</v>
      </c>
      <c r="H818" s="338">
        <v>0</v>
      </c>
      <c r="I818" s="217" t="s">
        <v>778</v>
      </c>
      <c r="M818" s="417"/>
      <c r="N818" s="343"/>
      <c r="O818" s="338"/>
      <c r="P818" s="338"/>
      <c r="Q818" s="412" t="s">
        <v>323</v>
      </c>
      <c r="R818" t="str">
        <f>IF(ISNUMBER(Table3[[#This Row],[Thickness]]), "Zenith", "")</f>
        <v/>
      </c>
    </row>
    <row r="819" spans="1:20" ht="54" thickTop="1" thickBot="1" x14ac:dyDescent="0.9">
      <c r="A819" s="156" t="s">
        <v>322</v>
      </c>
      <c r="B819" s="309"/>
      <c r="C819" s="287" t="s">
        <v>179</v>
      </c>
      <c r="D819" s="318"/>
      <c r="E819" s="318"/>
      <c r="F819" s="285" t="s">
        <v>320</v>
      </c>
      <c r="G819" s="285" t="e">
        <v>#VALUE!</v>
      </c>
      <c r="H819" s="286" t="e">
        <v>#VALUE!</v>
      </c>
      <c r="I819" s="217" t="s">
        <v>778</v>
      </c>
      <c r="M819" s="290"/>
      <c r="N819" s="230"/>
      <c r="O819" s="286" t="s">
        <v>171</v>
      </c>
      <c r="P819" s="286" t="s">
        <v>325</v>
      </c>
      <c r="Q819" s="287" t="s">
        <v>199</v>
      </c>
      <c r="R819" t="str">
        <f>IF(ISNUMBER(Table3[[#This Row],[Thickness]]), "Zenith", "")</f>
        <v/>
      </c>
    </row>
    <row r="820" spans="1:20" ht="27" thickTop="1" x14ac:dyDescent="0.85">
      <c r="A820" s="429" t="s">
        <v>659</v>
      </c>
      <c r="B820" s="429" t="s">
        <v>772</v>
      </c>
      <c r="C820" s="430">
        <v>34.25</v>
      </c>
      <c r="D820" s="430"/>
      <c r="E820" s="430" t="s">
        <v>757</v>
      </c>
      <c r="F820" s="431">
        <v>3</v>
      </c>
      <c r="G820" s="431">
        <v>1400</v>
      </c>
      <c r="H820" s="431">
        <v>10000</v>
      </c>
      <c r="I820" s="431" t="s">
        <v>778</v>
      </c>
      <c r="J820" s="432" t="s">
        <v>1</v>
      </c>
      <c r="K820" s="432">
        <v>-30</v>
      </c>
      <c r="L820" s="432">
        <v>90</v>
      </c>
      <c r="M820" s="436" t="s">
        <v>577</v>
      </c>
      <c r="N820" s="436">
        <v>70</v>
      </c>
      <c r="O820" s="431" t="s">
        <v>168</v>
      </c>
      <c r="P820" s="431" t="s">
        <v>168</v>
      </c>
      <c r="Q820" s="430">
        <f>C820*((100-Discounts!$B$67)/100)</f>
        <v>13.700000000000001</v>
      </c>
      <c r="R820" t="str">
        <f>IF(ISNUMBER(Table3[[#This Row],[Thickness]]), "Zenith", "")</f>
        <v>Zenith</v>
      </c>
      <c r="S820">
        <v>5</v>
      </c>
      <c r="T820">
        <v>250</v>
      </c>
    </row>
    <row r="821" spans="1:20" x14ac:dyDescent="0.85">
      <c r="A821" s="433" t="s">
        <v>705</v>
      </c>
      <c r="B821" s="429" t="s">
        <v>772</v>
      </c>
      <c r="C821" s="434">
        <v>60.75</v>
      </c>
      <c r="D821" s="434"/>
      <c r="E821" s="430" t="s">
        <v>757</v>
      </c>
      <c r="F821" s="435">
        <v>5</v>
      </c>
      <c r="G821" s="435">
        <v>1400</v>
      </c>
      <c r="H821" s="435">
        <v>10000</v>
      </c>
      <c r="I821" s="431" t="s">
        <v>778</v>
      </c>
      <c r="J821" s="432" t="s">
        <v>1</v>
      </c>
      <c r="K821" s="432">
        <v>-30</v>
      </c>
      <c r="L821" s="432">
        <v>90</v>
      </c>
      <c r="M821" s="436" t="s">
        <v>577</v>
      </c>
      <c r="N821" s="436">
        <v>70</v>
      </c>
      <c r="O821" s="435"/>
      <c r="P821" s="435"/>
      <c r="Q821" s="434">
        <f>C821*((100-Discounts!$B$67)/100)</f>
        <v>24.3</v>
      </c>
      <c r="R821" t="str">
        <f>IF(ISNUMBER(Table3[[#This Row],[Thickness]]), "Zenith", "")</f>
        <v>Zenith</v>
      </c>
      <c r="S821">
        <v>5</v>
      </c>
      <c r="T821">
        <v>250</v>
      </c>
    </row>
    <row r="822" spans="1:20" ht="27" thickBot="1" x14ac:dyDescent="0.9">
      <c r="A822" s="410"/>
      <c r="B822" s="411"/>
      <c r="C822" s="412" t="s">
        <v>597</v>
      </c>
      <c r="D822" s="413"/>
      <c r="E822" s="413"/>
      <c r="F822" s="414" t="s">
        <v>180</v>
      </c>
      <c r="G822" s="414">
        <v>0</v>
      </c>
      <c r="H822" s="338">
        <v>0</v>
      </c>
      <c r="I822" s="217" t="s">
        <v>778</v>
      </c>
      <c r="M822" s="417"/>
      <c r="N822" s="343"/>
      <c r="O822" s="338"/>
      <c r="P822" s="338"/>
      <c r="Q822" s="412" t="s">
        <v>323</v>
      </c>
      <c r="R822" t="str">
        <f>IF(ISNUMBER(Table3[[#This Row],[Thickness]]), "Zenith", "")</f>
        <v/>
      </c>
    </row>
    <row r="823" spans="1:20" ht="54" thickTop="1" thickBot="1" x14ac:dyDescent="0.9">
      <c r="A823" s="156" t="s">
        <v>322</v>
      </c>
      <c r="B823" s="309"/>
      <c r="C823" s="287" t="s">
        <v>179</v>
      </c>
      <c r="D823" s="318"/>
      <c r="E823" s="318"/>
      <c r="F823" s="285" t="s">
        <v>320</v>
      </c>
      <c r="G823" s="285" t="e">
        <v>#VALUE!</v>
      </c>
      <c r="H823" s="286" t="e">
        <v>#VALUE!</v>
      </c>
      <c r="I823" s="217" t="s">
        <v>778</v>
      </c>
      <c r="M823" s="290"/>
      <c r="N823" s="230"/>
      <c r="O823" s="286" t="s">
        <v>171</v>
      </c>
      <c r="P823" s="286" t="s">
        <v>325</v>
      </c>
      <c r="Q823" s="287" t="s">
        <v>199</v>
      </c>
      <c r="R823" t="str">
        <f>IF(ISNUMBER(Table3[[#This Row],[Thickness]]), "Zenith", "")</f>
        <v/>
      </c>
    </row>
    <row r="824" spans="1:20" ht="27" thickTop="1" x14ac:dyDescent="0.85">
      <c r="A824" s="429" t="s">
        <v>661</v>
      </c>
      <c r="B824" s="429" t="s">
        <v>180</v>
      </c>
      <c r="C824" s="430">
        <v>18.5</v>
      </c>
      <c r="D824" s="430"/>
      <c r="E824" s="430" t="s">
        <v>757</v>
      </c>
      <c r="F824" s="431">
        <v>3</v>
      </c>
      <c r="G824" s="431">
        <v>1500</v>
      </c>
      <c r="H824" s="431">
        <v>10000</v>
      </c>
      <c r="I824" s="431" t="s">
        <v>778</v>
      </c>
      <c r="J824" s="432" t="s">
        <v>0</v>
      </c>
      <c r="K824" s="432">
        <v>-30</v>
      </c>
      <c r="L824" s="432">
        <v>70</v>
      </c>
      <c r="M824" s="436" t="s">
        <v>577</v>
      </c>
      <c r="N824" s="436">
        <v>65</v>
      </c>
      <c r="O824" s="431" t="s">
        <v>168</v>
      </c>
      <c r="P824" s="431" t="s">
        <v>168</v>
      </c>
      <c r="Q824" s="430">
        <f>C824*((100-Discounts!$B$68)/100)</f>
        <v>7.4</v>
      </c>
      <c r="R824" t="str">
        <f>IF(ISNUMBER(Table3[[#This Row],[Thickness]]), "Zenith", "")</f>
        <v>Zenith</v>
      </c>
      <c r="S824">
        <v>3.5</v>
      </c>
      <c r="T824">
        <v>250</v>
      </c>
    </row>
    <row r="825" spans="1:20" x14ac:dyDescent="0.85">
      <c r="A825" s="433" t="s">
        <v>661</v>
      </c>
      <c r="B825" s="429" t="s">
        <v>180</v>
      </c>
      <c r="C825" s="434">
        <v>18.5</v>
      </c>
      <c r="D825" s="434"/>
      <c r="E825" s="430" t="s">
        <v>757</v>
      </c>
      <c r="F825" s="435">
        <v>3</v>
      </c>
      <c r="G825" s="435">
        <v>1800</v>
      </c>
      <c r="H825" s="435">
        <v>10000</v>
      </c>
      <c r="I825" s="431" t="s">
        <v>778</v>
      </c>
      <c r="J825" s="432" t="s">
        <v>0</v>
      </c>
      <c r="K825" s="432">
        <v>-30</v>
      </c>
      <c r="L825" s="432">
        <v>70</v>
      </c>
      <c r="M825" s="436" t="s">
        <v>577</v>
      </c>
      <c r="N825" s="436">
        <v>65</v>
      </c>
      <c r="O825" s="435" t="s">
        <v>168</v>
      </c>
      <c r="P825" s="435" t="s">
        <v>168</v>
      </c>
      <c r="Q825" s="434">
        <f>C825*((100-Discounts!$B$68)/100)</f>
        <v>7.4</v>
      </c>
      <c r="R825" t="str">
        <f>IF(ISNUMBER(Table3[[#This Row],[Thickness]]), "Zenith", "")</f>
        <v>Zenith</v>
      </c>
      <c r="S825">
        <v>3.5</v>
      </c>
      <c r="T825">
        <v>250</v>
      </c>
    </row>
    <row r="826" spans="1:20" x14ac:dyDescent="0.85">
      <c r="A826" s="429" t="s">
        <v>661</v>
      </c>
      <c r="B826" s="429" t="s">
        <v>180</v>
      </c>
      <c r="C826" s="430">
        <v>18.5</v>
      </c>
      <c r="D826" s="430"/>
      <c r="E826" s="430" t="s">
        <v>757</v>
      </c>
      <c r="F826" s="431">
        <v>3</v>
      </c>
      <c r="G826" s="431">
        <v>2000</v>
      </c>
      <c r="H826" s="431">
        <v>10000</v>
      </c>
      <c r="I826" s="431" t="s">
        <v>778</v>
      </c>
      <c r="J826" s="432" t="s">
        <v>0</v>
      </c>
      <c r="K826" s="432">
        <v>-30</v>
      </c>
      <c r="L826" s="432">
        <v>70</v>
      </c>
      <c r="M826" s="436" t="s">
        <v>577</v>
      </c>
      <c r="N826" s="436">
        <v>65</v>
      </c>
      <c r="O826" s="431" t="s">
        <v>168</v>
      </c>
      <c r="P826" s="431" t="s">
        <v>168</v>
      </c>
      <c r="Q826" s="430">
        <f>C826*((100-Discounts!$B$68)/100)</f>
        <v>7.4</v>
      </c>
      <c r="R826" t="str">
        <f>IF(ISNUMBER(Table3[[#This Row],[Thickness]]), "Zenith", "")</f>
        <v>Zenith</v>
      </c>
      <c r="S826">
        <v>3.5</v>
      </c>
      <c r="T826">
        <v>250</v>
      </c>
    </row>
    <row r="827" spans="1:20" x14ac:dyDescent="0.85">
      <c r="A827" s="433" t="s">
        <v>661</v>
      </c>
      <c r="B827" s="429" t="s">
        <v>180</v>
      </c>
      <c r="C827" s="434">
        <v>18.5</v>
      </c>
      <c r="D827" s="434"/>
      <c r="E827" s="430" t="s">
        <v>757</v>
      </c>
      <c r="F827" s="435">
        <v>3</v>
      </c>
      <c r="G827" s="435">
        <v>2200</v>
      </c>
      <c r="H827" s="435">
        <v>10000</v>
      </c>
      <c r="I827" s="431" t="s">
        <v>778</v>
      </c>
      <c r="J827" s="432" t="s">
        <v>0</v>
      </c>
      <c r="K827" s="432">
        <v>-30</v>
      </c>
      <c r="L827" s="432">
        <v>70</v>
      </c>
      <c r="M827" s="436" t="s">
        <v>577</v>
      </c>
      <c r="N827" s="436">
        <v>65</v>
      </c>
      <c r="O827" s="435" t="s">
        <v>168</v>
      </c>
      <c r="P827" s="435" t="s">
        <v>168</v>
      </c>
      <c r="Q827" s="434">
        <f>C827*((100-Discounts!$B$68)/100)</f>
        <v>7.4</v>
      </c>
      <c r="R827" t="str">
        <f>IF(ISNUMBER(Table3[[#This Row],[Thickness]]), "Zenith", "")</f>
        <v>Zenith</v>
      </c>
      <c r="S827">
        <v>3.5</v>
      </c>
      <c r="T827">
        <v>250</v>
      </c>
    </row>
    <row r="828" spans="1:20" x14ac:dyDescent="0.85">
      <c r="A828" s="429" t="s">
        <v>662</v>
      </c>
      <c r="B828" s="429" t="s">
        <v>180</v>
      </c>
      <c r="C828" s="430">
        <v>33</v>
      </c>
      <c r="D828" s="430"/>
      <c r="E828" s="430" t="s">
        <v>757</v>
      </c>
      <c r="F828" s="431">
        <v>5</v>
      </c>
      <c r="G828" s="431">
        <v>1000</v>
      </c>
      <c r="H828" s="431">
        <v>10000</v>
      </c>
      <c r="I828" s="431" t="s">
        <v>778</v>
      </c>
      <c r="J828" s="432" t="s">
        <v>0</v>
      </c>
      <c r="K828" s="432">
        <v>-30</v>
      </c>
      <c r="L828" s="432">
        <v>70</v>
      </c>
      <c r="M828" s="436" t="s">
        <v>577</v>
      </c>
      <c r="N828" s="436">
        <v>65</v>
      </c>
      <c r="O828" s="431" t="s">
        <v>168</v>
      </c>
      <c r="P828" s="431" t="s">
        <v>168</v>
      </c>
      <c r="Q828" s="430">
        <f>C828*((100-Discounts!$B$68)/100)</f>
        <v>13.200000000000001</v>
      </c>
      <c r="R828" t="str">
        <f>IF(ISNUMBER(Table3[[#This Row],[Thickness]]), "Zenith", "")</f>
        <v>Zenith</v>
      </c>
      <c r="S828">
        <v>3.5</v>
      </c>
      <c r="T828">
        <v>250</v>
      </c>
    </row>
    <row r="829" spans="1:20" x14ac:dyDescent="0.85">
      <c r="A829" s="433" t="s">
        <v>662</v>
      </c>
      <c r="B829" s="429" t="s">
        <v>180</v>
      </c>
      <c r="C829" s="434">
        <v>33</v>
      </c>
      <c r="D829" s="434"/>
      <c r="E829" s="430" t="s">
        <v>757</v>
      </c>
      <c r="F829" s="435">
        <v>5</v>
      </c>
      <c r="G829" s="435">
        <v>2000</v>
      </c>
      <c r="H829" s="435">
        <v>10000</v>
      </c>
      <c r="I829" s="431" t="s">
        <v>778</v>
      </c>
      <c r="J829" s="432" t="s">
        <v>0</v>
      </c>
      <c r="K829" s="432">
        <v>-30</v>
      </c>
      <c r="L829" s="432">
        <v>70</v>
      </c>
      <c r="M829" s="436" t="s">
        <v>577</v>
      </c>
      <c r="N829" s="436">
        <v>65</v>
      </c>
      <c r="O829" s="435" t="s">
        <v>168</v>
      </c>
      <c r="P829" s="435" t="s">
        <v>168</v>
      </c>
      <c r="Q829" s="434">
        <f>C829*((100-Discounts!$B$68)/100)</f>
        <v>13.200000000000001</v>
      </c>
      <c r="R829" t="str">
        <f>IF(ISNUMBER(Table3[[#This Row],[Thickness]]), "Zenith", "")</f>
        <v>Zenith</v>
      </c>
      <c r="S829">
        <v>3.5</v>
      </c>
      <c r="T829">
        <v>250</v>
      </c>
    </row>
    <row r="830" spans="1:20" x14ac:dyDescent="0.85">
      <c r="A830" s="429" t="s">
        <v>663</v>
      </c>
      <c r="B830" s="429" t="s">
        <v>180</v>
      </c>
      <c r="C830" s="430">
        <v>44</v>
      </c>
      <c r="D830" s="430"/>
      <c r="E830" s="430" t="s">
        <v>757</v>
      </c>
      <c r="F830" s="431">
        <v>6</v>
      </c>
      <c r="G830" s="431">
        <v>2000</v>
      </c>
      <c r="H830" s="431">
        <v>10000</v>
      </c>
      <c r="I830" s="431" t="s">
        <v>778</v>
      </c>
      <c r="J830" s="432" t="s">
        <v>0</v>
      </c>
      <c r="K830" s="432">
        <v>-30</v>
      </c>
      <c r="L830" s="432">
        <v>70</v>
      </c>
      <c r="M830" s="436" t="s">
        <v>577</v>
      </c>
      <c r="N830" s="436">
        <v>65</v>
      </c>
      <c r="O830" s="431">
        <v>2</v>
      </c>
      <c r="P830" s="431" t="s">
        <v>178</v>
      </c>
      <c r="Q830" s="430">
        <f>C830*((100-Discounts!$B$68)/100)</f>
        <v>17.600000000000001</v>
      </c>
      <c r="R830" t="str">
        <f>IF(ISNUMBER(Table3[[#This Row],[Thickness]]), "Zenith", "")</f>
        <v>Zenith</v>
      </c>
      <c r="S830">
        <v>3.5</v>
      </c>
      <c r="T830">
        <v>250</v>
      </c>
    </row>
    <row r="831" spans="1:20" x14ac:dyDescent="0.85">
      <c r="A831" s="433" t="s">
        <v>664</v>
      </c>
      <c r="B831" s="429" t="s">
        <v>180</v>
      </c>
      <c r="C831" s="434">
        <v>50</v>
      </c>
      <c r="D831" s="434"/>
      <c r="E831" s="430" t="s">
        <v>757</v>
      </c>
      <c r="F831" s="435">
        <v>8</v>
      </c>
      <c r="G831" s="435">
        <v>2000</v>
      </c>
      <c r="H831" s="435">
        <v>10000</v>
      </c>
      <c r="I831" s="431" t="s">
        <v>778</v>
      </c>
      <c r="J831" s="432" t="s">
        <v>0</v>
      </c>
      <c r="K831" s="432">
        <v>-30</v>
      </c>
      <c r="L831" s="432">
        <v>70</v>
      </c>
      <c r="M831" s="436" t="s">
        <v>577</v>
      </c>
      <c r="N831" s="436">
        <v>65</v>
      </c>
      <c r="O831" s="435">
        <v>1</v>
      </c>
      <c r="P831" s="435" t="s">
        <v>178</v>
      </c>
      <c r="Q831" s="434">
        <f>C831*((100-Discounts!$B$68)/100)</f>
        <v>20</v>
      </c>
      <c r="R831" t="str">
        <f>IF(ISNUMBER(Table3[[#This Row],[Thickness]]), "Zenith", "")</f>
        <v>Zenith</v>
      </c>
      <c r="S831">
        <v>3.5</v>
      </c>
      <c r="T831">
        <v>250</v>
      </c>
    </row>
    <row r="832" spans="1:20" ht="27" thickBot="1" x14ac:dyDescent="0.9">
      <c r="A832" s="410"/>
      <c r="B832" s="411"/>
      <c r="C832" s="412" t="s">
        <v>597</v>
      </c>
      <c r="D832" s="413"/>
      <c r="E832" s="413"/>
      <c r="F832" s="414" t="s">
        <v>665</v>
      </c>
      <c r="G832" s="414">
        <v>0</v>
      </c>
      <c r="H832" s="338">
        <v>0</v>
      </c>
      <c r="I832" s="217" t="s">
        <v>778</v>
      </c>
      <c r="M832" s="415"/>
      <c r="N832" s="343"/>
      <c r="O832" s="338"/>
      <c r="P832" s="338"/>
      <c r="Q832" s="412" t="s">
        <v>323</v>
      </c>
      <c r="R832" t="str">
        <f>IF(ISNUMBER(Table3[[#This Row],[Thickness]]), "Zenith", "")</f>
        <v/>
      </c>
    </row>
    <row r="833" spans="1:20" ht="54" thickTop="1" thickBot="1" x14ac:dyDescent="0.9">
      <c r="A833" s="156" t="s">
        <v>322</v>
      </c>
      <c r="B833" s="309"/>
      <c r="C833" s="287" t="s">
        <v>179</v>
      </c>
      <c r="D833" s="318"/>
      <c r="E833" s="318"/>
      <c r="F833" s="285" t="s">
        <v>320</v>
      </c>
      <c r="G833" s="285" t="e">
        <v>#VALUE!</v>
      </c>
      <c r="H833" s="286" t="e">
        <v>#VALUE!</v>
      </c>
      <c r="I833" s="217" t="s">
        <v>778</v>
      </c>
      <c r="M833" s="288"/>
      <c r="N833" s="230"/>
      <c r="O833" s="286" t="s">
        <v>171</v>
      </c>
      <c r="P833" s="286" t="s">
        <v>325</v>
      </c>
      <c r="Q833" s="287" t="s">
        <v>199</v>
      </c>
      <c r="R833" t="str">
        <f>IF(ISNUMBER(Table3[[#This Row],[Thickness]]), "Zenith", "")</f>
        <v/>
      </c>
    </row>
    <row r="834" spans="1:20" ht="27" thickTop="1" x14ac:dyDescent="0.85">
      <c r="A834" s="429" t="s">
        <v>666</v>
      </c>
      <c r="B834" s="429" t="s">
        <v>773</v>
      </c>
      <c r="C834" s="430">
        <v>17.25</v>
      </c>
      <c r="D834" s="430"/>
      <c r="E834" s="430" t="s">
        <v>757</v>
      </c>
      <c r="F834" s="431">
        <v>3</v>
      </c>
      <c r="G834" s="431">
        <v>1000</v>
      </c>
      <c r="H834" s="431">
        <v>10000</v>
      </c>
      <c r="I834" s="431" t="s">
        <v>778</v>
      </c>
      <c r="J834" s="432" t="s">
        <v>0</v>
      </c>
      <c r="K834" s="432">
        <v>-30</v>
      </c>
      <c r="L834" s="432">
        <v>70</v>
      </c>
      <c r="M834" s="436" t="s">
        <v>577</v>
      </c>
      <c r="N834" s="436">
        <v>65</v>
      </c>
      <c r="O834" s="431" t="s">
        <v>168</v>
      </c>
      <c r="P834" s="431" t="s">
        <v>168</v>
      </c>
      <c r="Q834" s="430">
        <f>C834*((100-Discounts!$B$69)/100)</f>
        <v>6.9</v>
      </c>
      <c r="R834" t="str">
        <f>IF(ISNUMBER(Table3[[#This Row],[Thickness]]), "Zenith", "")</f>
        <v>Zenith</v>
      </c>
      <c r="S834">
        <v>3.5</v>
      </c>
      <c r="T834">
        <v>250</v>
      </c>
    </row>
    <row r="835" spans="1:20" x14ac:dyDescent="0.85">
      <c r="A835" s="433" t="s">
        <v>666</v>
      </c>
      <c r="B835" s="429" t="s">
        <v>773</v>
      </c>
      <c r="C835" s="434">
        <v>17.25</v>
      </c>
      <c r="D835" s="434"/>
      <c r="E835" s="430" t="s">
        <v>757</v>
      </c>
      <c r="F835" s="435">
        <v>3</v>
      </c>
      <c r="G835" s="435">
        <v>1200</v>
      </c>
      <c r="H835" s="435">
        <v>10000</v>
      </c>
      <c r="I835" s="431" t="s">
        <v>778</v>
      </c>
      <c r="J835" s="432" t="s">
        <v>0</v>
      </c>
      <c r="K835" s="432">
        <v>-30</v>
      </c>
      <c r="L835" s="432">
        <v>70</v>
      </c>
      <c r="M835" s="436" t="s">
        <v>577</v>
      </c>
      <c r="N835" s="436">
        <v>65</v>
      </c>
      <c r="O835" s="435" t="s">
        <v>168</v>
      </c>
      <c r="P835" s="435" t="s">
        <v>168</v>
      </c>
      <c r="Q835" s="434">
        <f>C835*((100-Discounts!$B$69)/100)</f>
        <v>6.9</v>
      </c>
      <c r="R835" t="str">
        <f>IF(ISNUMBER(Table3[[#This Row],[Thickness]]), "Zenith", "")</f>
        <v>Zenith</v>
      </c>
      <c r="S835">
        <v>3.5</v>
      </c>
      <c r="T835">
        <v>250</v>
      </c>
    </row>
    <row r="836" spans="1:20" x14ac:dyDescent="0.85">
      <c r="A836" s="429" t="s">
        <v>667</v>
      </c>
      <c r="B836" s="429" t="s">
        <v>773</v>
      </c>
      <c r="C836" s="430">
        <v>26</v>
      </c>
      <c r="D836" s="430"/>
      <c r="E836" s="430" t="s">
        <v>757</v>
      </c>
      <c r="F836" s="431">
        <v>3</v>
      </c>
      <c r="G836" s="431">
        <v>1200</v>
      </c>
      <c r="H836" s="431">
        <v>10000</v>
      </c>
      <c r="I836" s="431" t="s">
        <v>778</v>
      </c>
      <c r="J836" s="432" t="s">
        <v>0</v>
      </c>
      <c r="K836" s="432">
        <v>-30</v>
      </c>
      <c r="L836" s="432">
        <v>70</v>
      </c>
      <c r="M836" s="436" t="s">
        <v>572</v>
      </c>
      <c r="N836" s="436">
        <v>65</v>
      </c>
      <c r="O836" s="431" t="s">
        <v>168</v>
      </c>
      <c r="P836" s="431" t="s">
        <v>168</v>
      </c>
      <c r="Q836" s="430">
        <f>C836*((100-Discounts!$B$69)/100)</f>
        <v>10.4</v>
      </c>
      <c r="R836" t="str">
        <f>IF(ISNUMBER(Table3[[#This Row],[Thickness]]), "Zenith", "")</f>
        <v>Zenith</v>
      </c>
      <c r="S836">
        <v>3.5</v>
      </c>
      <c r="T836">
        <v>250</v>
      </c>
    </row>
    <row r="837" spans="1:20" ht="27" thickBot="1" x14ac:dyDescent="0.9">
      <c r="A837" s="410"/>
      <c r="B837" s="411"/>
      <c r="C837" s="412" t="s">
        <v>597</v>
      </c>
      <c r="D837" s="413"/>
      <c r="E837" s="413"/>
      <c r="F837" s="414" t="s">
        <v>181</v>
      </c>
      <c r="G837" s="414">
        <v>0</v>
      </c>
      <c r="H837" s="338">
        <v>0</v>
      </c>
      <c r="I837" s="217" t="s">
        <v>778</v>
      </c>
      <c r="M837" s="419"/>
      <c r="N837" s="349"/>
      <c r="O837" s="338"/>
      <c r="P837" s="338"/>
      <c r="Q837" s="412" t="s">
        <v>323</v>
      </c>
      <c r="R837" t="str">
        <f>IF(ISNUMBER(Table3[[#This Row],[Thickness]]), "Zenith", "")</f>
        <v/>
      </c>
    </row>
    <row r="838" spans="1:20" ht="54" thickTop="1" thickBot="1" x14ac:dyDescent="0.9">
      <c r="A838" s="156" t="s">
        <v>322</v>
      </c>
      <c r="B838" s="309"/>
      <c r="C838" s="287" t="s">
        <v>179</v>
      </c>
      <c r="D838" s="318"/>
      <c r="E838" s="318"/>
      <c r="F838" s="285" t="s">
        <v>320</v>
      </c>
      <c r="G838" s="285" t="e">
        <v>#VALUE!</v>
      </c>
      <c r="H838" s="286" t="e">
        <v>#VALUE!</v>
      </c>
      <c r="I838" s="217" t="s">
        <v>778</v>
      </c>
      <c r="M838" s="289"/>
      <c r="N838" s="233"/>
      <c r="O838" s="286" t="s">
        <v>171</v>
      </c>
      <c r="P838" s="286" t="s">
        <v>325</v>
      </c>
      <c r="Q838" s="287" t="s">
        <v>199</v>
      </c>
      <c r="R838" t="str">
        <f>IF(ISNUMBER(Table3[[#This Row],[Thickness]]), "Zenith", "")</f>
        <v/>
      </c>
    </row>
    <row r="839" spans="1:20" ht="27" thickTop="1" x14ac:dyDescent="0.85">
      <c r="A839" s="429" t="s">
        <v>668</v>
      </c>
      <c r="B839" s="429" t="s">
        <v>774</v>
      </c>
      <c r="C839" s="430">
        <v>18</v>
      </c>
      <c r="D839" s="430"/>
      <c r="E839" s="430" t="s">
        <v>757</v>
      </c>
      <c r="F839" s="431">
        <v>3</v>
      </c>
      <c r="G839" s="431">
        <v>1200</v>
      </c>
      <c r="H839" s="431">
        <v>10000</v>
      </c>
      <c r="I839" s="431" t="s">
        <v>778</v>
      </c>
      <c r="J839" s="432" t="s">
        <v>0</v>
      </c>
      <c r="K839" s="432">
        <v>-30</v>
      </c>
      <c r="L839" s="432">
        <v>70</v>
      </c>
      <c r="M839" s="436" t="s">
        <v>577</v>
      </c>
      <c r="N839" s="436">
        <v>65</v>
      </c>
      <c r="O839" s="431" t="s">
        <v>168</v>
      </c>
      <c r="P839" s="431" t="s">
        <v>168</v>
      </c>
      <c r="Q839" s="430">
        <f>C839*((100-Discounts!$B$70)/100)</f>
        <v>7.2</v>
      </c>
      <c r="R839" t="str">
        <f>IF(ISNUMBER(Table3[[#This Row],[Thickness]]), "Zenith", "")</f>
        <v>Zenith</v>
      </c>
      <c r="S839">
        <v>3.5</v>
      </c>
      <c r="T839">
        <v>250</v>
      </c>
    </row>
    <row r="840" spans="1:20" x14ac:dyDescent="0.85">
      <c r="A840" s="433" t="s">
        <v>668</v>
      </c>
      <c r="B840" s="429" t="s">
        <v>774</v>
      </c>
      <c r="C840" s="434">
        <v>18</v>
      </c>
      <c r="D840" s="434"/>
      <c r="E840" s="430" t="s">
        <v>757</v>
      </c>
      <c r="F840" s="435">
        <v>3</v>
      </c>
      <c r="G840" s="435">
        <v>1500</v>
      </c>
      <c r="H840" s="435">
        <v>10000</v>
      </c>
      <c r="I840" s="431" t="s">
        <v>778</v>
      </c>
      <c r="J840" s="432" t="s">
        <v>0</v>
      </c>
      <c r="K840" s="432">
        <v>-30</v>
      </c>
      <c r="L840" s="432">
        <v>70</v>
      </c>
      <c r="M840" s="436" t="s">
        <v>577</v>
      </c>
      <c r="N840" s="436">
        <v>65</v>
      </c>
      <c r="O840" s="435" t="s">
        <v>168</v>
      </c>
      <c r="P840" s="435" t="s">
        <v>168</v>
      </c>
      <c r="Q840" s="434">
        <f>C840*((100-Discounts!$B$70)/100)</f>
        <v>7.2</v>
      </c>
      <c r="R840" t="str">
        <f>IF(ISNUMBER(Table3[[#This Row],[Thickness]]), "Zenith", "")</f>
        <v>Zenith</v>
      </c>
      <c r="S840">
        <v>3.5</v>
      </c>
      <c r="T840">
        <v>250</v>
      </c>
    </row>
    <row r="841" spans="1:20" ht="27" thickBot="1" x14ac:dyDescent="0.9">
      <c r="A841" s="410"/>
      <c r="B841" s="411"/>
      <c r="C841" s="412" t="s">
        <v>597</v>
      </c>
      <c r="D841" s="413"/>
      <c r="E841" s="413"/>
      <c r="F841" s="414" t="s">
        <v>669</v>
      </c>
      <c r="G841" s="414">
        <v>0</v>
      </c>
      <c r="H841" s="338">
        <v>0</v>
      </c>
      <c r="I841" s="217" t="s">
        <v>778</v>
      </c>
      <c r="M841" s="419"/>
      <c r="N841" s="349"/>
      <c r="O841" s="338"/>
      <c r="P841" s="338"/>
      <c r="Q841" s="412" t="s">
        <v>323</v>
      </c>
      <c r="R841" t="str">
        <f>IF(ISNUMBER(Table3[[#This Row],[Thickness]]), "Zenith", "")</f>
        <v/>
      </c>
    </row>
    <row r="842" spans="1:20" ht="54" thickTop="1" thickBot="1" x14ac:dyDescent="0.9">
      <c r="A842" s="156" t="s">
        <v>322</v>
      </c>
      <c r="B842" s="309"/>
      <c r="C842" s="287" t="s">
        <v>179</v>
      </c>
      <c r="D842" s="318"/>
      <c r="E842" s="318"/>
      <c r="F842" s="285" t="s">
        <v>320</v>
      </c>
      <c r="G842" s="285" t="e">
        <v>#VALUE!</v>
      </c>
      <c r="H842" s="286" t="e">
        <v>#VALUE!</v>
      </c>
      <c r="I842" s="217" t="s">
        <v>778</v>
      </c>
      <c r="M842" s="289"/>
      <c r="N842" s="233"/>
      <c r="O842" s="286" t="s">
        <v>171</v>
      </c>
      <c r="P842" s="286" t="s">
        <v>325</v>
      </c>
      <c r="Q842" s="287" t="s">
        <v>199</v>
      </c>
      <c r="R842" t="str">
        <f>IF(ISNUMBER(Table3[[#This Row],[Thickness]]), "Zenith", "")</f>
        <v/>
      </c>
    </row>
    <row r="843" spans="1:20" ht="27" thickTop="1" x14ac:dyDescent="0.85">
      <c r="A843" s="429" t="s">
        <v>670</v>
      </c>
      <c r="B843" s="429" t="s">
        <v>775</v>
      </c>
      <c r="C843" s="430">
        <v>17.25</v>
      </c>
      <c r="D843" s="430"/>
      <c r="E843" s="430" t="s">
        <v>757</v>
      </c>
      <c r="F843" s="431">
        <v>3</v>
      </c>
      <c r="G843" s="431">
        <v>1000</v>
      </c>
      <c r="H843" s="431">
        <v>10000</v>
      </c>
      <c r="I843" s="431" t="s">
        <v>778</v>
      </c>
      <c r="J843" s="432" t="s">
        <v>0</v>
      </c>
      <c r="K843" s="432">
        <v>-30</v>
      </c>
      <c r="L843" s="432">
        <v>70</v>
      </c>
      <c r="M843" s="436" t="s">
        <v>577</v>
      </c>
      <c r="N843" s="436">
        <v>65</v>
      </c>
      <c r="O843" s="431" t="s">
        <v>168</v>
      </c>
      <c r="P843" s="431" t="s">
        <v>168</v>
      </c>
      <c r="Q843" s="430">
        <f>C843*((100-Discounts!$B$71)/100)</f>
        <v>6.9</v>
      </c>
      <c r="R843" t="str">
        <f>IF(ISNUMBER(Table3[[#This Row],[Thickness]]), "Zenith", "")</f>
        <v>Zenith</v>
      </c>
      <c r="S843">
        <v>3.5</v>
      </c>
      <c r="T843">
        <v>250</v>
      </c>
    </row>
    <row r="844" spans="1:20" x14ac:dyDescent="0.85">
      <c r="A844" s="433" t="s">
        <v>671</v>
      </c>
      <c r="B844" s="429" t="s">
        <v>775</v>
      </c>
      <c r="C844" s="434">
        <v>26</v>
      </c>
      <c r="D844" s="434"/>
      <c r="E844" s="430" t="s">
        <v>757</v>
      </c>
      <c r="F844" s="435">
        <v>3</v>
      </c>
      <c r="G844" s="435">
        <v>1200</v>
      </c>
      <c r="H844" s="435">
        <v>10000</v>
      </c>
      <c r="I844" s="431" t="s">
        <v>778</v>
      </c>
      <c r="J844" s="432" t="s">
        <v>0</v>
      </c>
      <c r="K844" s="432">
        <v>-30</v>
      </c>
      <c r="L844" s="432">
        <v>70</v>
      </c>
      <c r="M844" s="436" t="s">
        <v>572</v>
      </c>
      <c r="N844" s="436">
        <v>65</v>
      </c>
      <c r="O844" s="435" t="s">
        <v>168</v>
      </c>
      <c r="P844" s="435" t="s">
        <v>168</v>
      </c>
      <c r="Q844" s="434">
        <f>C844*((100-Discounts!$B$71)/100)</f>
        <v>10.4</v>
      </c>
      <c r="R844" t="str">
        <f>IF(ISNUMBER(Table3[[#This Row],[Thickness]]), "Zenith", "")</f>
        <v>Zenith</v>
      </c>
      <c r="S844">
        <v>3.5</v>
      </c>
      <c r="T844">
        <v>250</v>
      </c>
    </row>
    <row r="845" spans="1:20" ht="27" thickBot="1" x14ac:dyDescent="0.9">
      <c r="A845" s="410"/>
      <c r="B845" s="411"/>
      <c r="C845" s="412" t="s">
        <v>597</v>
      </c>
      <c r="D845" s="413"/>
      <c r="E845" s="413"/>
      <c r="F845" s="414" t="s">
        <v>672</v>
      </c>
      <c r="G845" s="414">
        <v>0</v>
      </c>
      <c r="H845" s="338">
        <v>0</v>
      </c>
      <c r="I845" s="217" t="s">
        <v>778</v>
      </c>
      <c r="M845" s="419"/>
      <c r="N845" s="349"/>
      <c r="O845" s="338"/>
      <c r="P845" s="338"/>
      <c r="Q845" s="412" t="s">
        <v>323</v>
      </c>
      <c r="R845" t="str">
        <f>IF(ISNUMBER(Table3[[#This Row],[Thickness]]), "Zenith", "")</f>
        <v/>
      </c>
    </row>
    <row r="846" spans="1:20" ht="54" thickTop="1" thickBot="1" x14ac:dyDescent="0.9">
      <c r="A846" s="156" t="s">
        <v>322</v>
      </c>
      <c r="B846" s="309"/>
      <c r="C846" s="287" t="s">
        <v>179</v>
      </c>
      <c r="D846" s="318"/>
      <c r="E846" s="318"/>
      <c r="F846" s="285" t="s">
        <v>320</v>
      </c>
      <c r="G846" s="285" t="e">
        <v>#VALUE!</v>
      </c>
      <c r="H846" s="286" t="e">
        <v>#VALUE!</v>
      </c>
      <c r="I846" s="217" t="s">
        <v>778</v>
      </c>
      <c r="M846" s="289"/>
      <c r="N846" s="233"/>
      <c r="O846" s="286" t="s">
        <v>171</v>
      </c>
      <c r="P846" s="286" t="s">
        <v>325</v>
      </c>
      <c r="Q846" s="287" t="s">
        <v>199</v>
      </c>
      <c r="R846" t="str">
        <f>IF(ISNUMBER(Table3[[#This Row],[Thickness]]), "Zenith", "")</f>
        <v/>
      </c>
    </row>
    <row r="847" spans="1:20" ht="27" thickTop="1" x14ac:dyDescent="0.85">
      <c r="A847" s="429" t="s">
        <v>673</v>
      </c>
      <c r="B847" s="429" t="s">
        <v>776</v>
      </c>
      <c r="C847" s="430">
        <v>44</v>
      </c>
      <c r="D847" s="430"/>
      <c r="E847" s="430" t="s">
        <v>757</v>
      </c>
      <c r="F847" s="431">
        <v>2.5</v>
      </c>
      <c r="G847" s="431">
        <v>1200</v>
      </c>
      <c r="H847" s="431">
        <v>10000</v>
      </c>
      <c r="I847" s="431" t="s">
        <v>778</v>
      </c>
      <c r="J847" s="432" t="s">
        <v>0</v>
      </c>
      <c r="K847" s="432">
        <v>-30</v>
      </c>
      <c r="L847" s="432">
        <v>70</v>
      </c>
      <c r="M847" s="436" t="s">
        <v>572</v>
      </c>
      <c r="N847" s="436">
        <v>80</v>
      </c>
      <c r="O847" s="431" t="s">
        <v>168</v>
      </c>
      <c r="P847" s="431" t="s">
        <v>168</v>
      </c>
      <c r="Q847" s="430">
        <f>C847*((100-Discounts!$B$72)/100)</f>
        <v>17.600000000000001</v>
      </c>
      <c r="R847" t="str">
        <f>IF(ISNUMBER(Table3[[#This Row],[Thickness]]), "Zenith", "")</f>
        <v>Zenith</v>
      </c>
      <c r="S847">
        <v>8</v>
      </c>
      <c r="T847">
        <v>300</v>
      </c>
    </row>
    <row r="848" spans="1:20" ht="27" thickBot="1" x14ac:dyDescent="0.9">
      <c r="A848" s="421"/>
      <c r="B848" s="422"/>
      <c r="C848" s="423" t="s">
        <v>597</v>
      </c>
      <c r="D848" s="424"/>
      <c r="E848" s="424"/>
      <c r="F848" s="414" t="s">
        <v>706</v>
      </c>
      <c r="G848" s="414">
        <v>0</v>
      </c>
      <c r="H848" s="338">
        <v>0</v>
      </c>
      <c r="I848" s="217" t="s">
        <v>778</v>
      </c>
      <c r="J848" t="s">
        <v>0</v>
      </c>
      <c r="M848" s="417"/>
      <c r="N848" s="343"/>
      <c r="O848" s="338"/>
      <c r="P848" s="338"/>
      <c r="Q848" s="425" t="s">
        <v>323</v>
      </c>
      <c r="R848" t="str">
        <f>IF(ISNUMBER(Table3[[#This Row],[Thickness]]), "Zenith", "")</f>
        <v/>
      </c>
    </row>
    <row r="849" spans="1:20" ht="54" thickTop="1" thickBot="1" x14ac:dyDescent="0.9">
      <c r="A849" s="202" t="s">
        <v>322</v>
      </c>
      <c r="B849" s="310"/>
      <c r="C849" s="292" t="s">
        <v>179</v>
      </c>
      <c r="D849" s="319"/>
      <c r="E849" s="319"/>
      <c r="F849" s="285" t="s">
        <v>320</v>
      </c>
      <c r="G849" s="285" t="e">
        <v>#VALUE!</v>
      </c>
      <c r="H849" s="286" t="e">
        <v>#VALUE!</v>
      </c>
      <c r="I849" s="217" t="s">
        <v>778</v>
      </c>
      <c r="M849" s="290"/>
      <c r="N849" s="230"/>
      <c r="O849" s="286" t="s">
        <v>171</v>
      </c>
      <c r="P849" s="286" t="s">
        <v>325</v>
      </c>
      <c r="Q849" s="286" t="s">
        <v>199</v>
      </c>
      <c r="R849" t="str">
        <f>IF(ISNUMBER(Table3[[#This Row],[Thickness]]), "Zenith", "")</f>
        <v/>
      </c>
    </row>
    <row r="850" spans="1:20" ht="27" thickTop="1" x14ac:dyDescent="0.85">
      <c r="A850" s="442" t="s">
        <v>709</v>
      </c>
      <c r="B850" s="442" t="s">
        <v>706</v>
      </c>
      <c r="C850" s="443">
        <v>95</v>
      </c>
      <c r="D850" s="443"/>
      <c r="E850" s="430" t="s">
        <v>757</v>
      </c>
      <c r="F850" s="431">
        <v>2</v>
      </c>
      <c r="G850" s="431">
        <v>1200</v>
      </c>
      <c r="H850" s="431">
        <v>10000</v>
      </c>
      <c r="I850" s="431" t="s">
        <v>778</v>
      </c>
      <c r="J850" s="432" t="s">
        <v>0</v>
      </c>
      <c r="K850" s="432">
        <v>-40</v>
      </c>
      <c r="L850" s="432">
        <v>140</v>
      </c>
      <c r="M850" s="441" t="s">
        <v>577</v>
      </c>
      <c r="N850" s="436">
        <v>80</v>
      </c>
      <c r="O850" s="431" t="s">
        <v>168</v>
      </c>
      <c r="P850" s="431" t="s">
        <v>168</v>
      </c>
      <c r="Q850" s="443">
        <f>C850*((100-Discounts!$B$73)/100)</f>
        <v>38</v>
      </c>
      <c r="R850" t="str">
        <f>IF(ISNUMBER(Table3[[#This Row],[Thickness]]), "Zenith", "")</f>
        <v>Zenith</v>
      </c>
      <c r="S850">
        <v>3.5</v>
      </c>
      <c r="T850">
        <v>250</v>
      </c>
    </row>
    <row r="851" spans="1:20" x14ac:dyDescent="0.85">
      <c r="A851" s="444" t="s">
        <v>710</v>
      </c>
      <c r="B851" s="442" t="s">
        <v>706</v>
      </c>
      <c r="C851" s="445">
        <v>95</v>
      </c>
      <c r="D851" s="445"/>
      <c r="E851" s="430" t="s">
        <v>757</v>
      </c>
      <c r="F851" s="435">
        <v>2</v>
      </c>
      <c r="G851" s="435">
        <v>1200</v>
      </c>
      <c r="H851" s="435">
        <v>10000</v>
      </c>
      <c r="I851" s="431" t="s">
        <v>778</v>
      </c>
      <c r="J851" s="432" t="s">
        <v>0</v>
      </c>
      <c r="K851" s="432">
        <v>-40</v>
      </c>
      <c r="L851" s="432">
        <v>140</v>
      </c>
      <c r="M851" s="157" t="s">
        <v>572</v>
      </c>
      <c r="N851" s="432">
        <v>80</v>
      </c>
      <c r="O851" s="435"/>
      <c r="P851" s="435"/>
      <c r="Q851" s="445">
        <f>C851*((100-Discounts!$B$73)/100)</f>
        <v>38</v>
      </c>
      <c r="R851" t="str">
        <f>IF(ISNUMBER(Table3[[#This Row],[Thickness]]), "Zenith", "")</f>
        <v>Zenith</v>
      </c>
      <c r="S851">
        <v>3.5</v>
      </c>
      <c r="T851">
        <v>250</v>
      </c>
    </row>
    <row r="852" spans="1:20" ht="27" thickBot="1" x14ac:dyDescent="0.9">
      <c r="A852" s="410"/>
      <c r="B852" s="411"/>
      <c r="C852" s="412" t="s">
        <v>597</v>
      </c>
      <c r="D852" s="413"/>
      <c r="E852" s="413"/>
      <c r="F852" s="414" t="s">
        <v>678</v>
      </c>
      <c r="G852" s="414">
        <v>0</v>
      </c>
      <c r="H852" s="338">
        <v>0</v>
      </c>
      <c r="I852" s="217" t="s">
        <v>778</v>
      </c>
      <c r="M852" s="417"/>
      <c r="N852" s="343"/>
      <c r="O852" s="338"/>
      <c r="P852" s="338"/>
      <c r="Q852" s="412" t="s">
        <v>323</v>
      </c>
      <c r="R852" t="str">
        <f>IF(ISNUMBER(Table3[[#This Row],[Thickness]]), "Zenith", "")</f>
        <v/>
      </c>
    </row>
    <row r="853" spans="1:20" ht="54" thickTop="1" thickBot="1" x14ac:dyDescent="0.9">
      <c r="A853" s="156" t="s">
        <v>322</v>
      </c>
      <c r="B853" s="309"/>
      <c r="C853" s="287" t="s">
        <v>702</v>
      </c>
      <c r="D853" s="318"/>
      <c r="E853" s="318"/>
      <c r="F853" s="285" t="s">
        <v>320</v>
      </c>
      <c r="G853" s="285" t="e">
        <v>#VALUE!</v>
      </c>
      <c r="H853" s="286" t="e">
        <v>#VALUE!</v>
      </c>
      <c r="I853" s="217" t="s">
        <v>778</v>
      </c>
      <c r="M853" s="290"/>
      <c r="N853" s="230"/>
      <c r="O853" s="286" t="s">
        <v>171</v>
      </c>
      <c r="P853" s="286" t="s">
        <v>325</v>
      </c>
      <c r="Q853" s="287" t="s">
        <v>199</v>
      </c>
      <c r="R853" t="str">
        <f>IF(ISNUMBER(Table3[[#This Row],[Thickness]]), "Zenith", "")</f>
        <v/>
      </c>
    </row>
    <row r="854" spans="1:20" ht="27" thickTop="1" x14ac:dyDescent="0.85">
      <c r="A854" s="429" t="s">
        <v>674</v>
      </c>
      <c r="B854" s="429" t="s">
        <v>678</v>
      </c>
      <c r="C854" s="430">
        <v>24</v>
      </c>
      <c r="D854" s="430"/>
      <c r="E854" s="430" t="s">
        <v>760</v>
      </c>
      <c r="F854" s="431">
        <v>8</v>
      </c>
      <c r="G854" s="431">
        <v>500</v>
      </c>
      <c r="H854" s="431">
        <v>500</v>
      </c>
      <c r="I854" s="431" t="s">
        <v>778</v>
      </c>
      <c r="J854" s="432" t="s">
        <v>0</v>
      </c>
      <c r="K854" s="432">
        <v>-30</v>
      </c>
      <c r="L854" s="432">
        <v>70</v>
      </c>
      <c r="M854" s="436" t="s">
        <v>577</v>
      </c>
      <c r="N854" s="436">
        <v>45</v>
      </c>
      <c r="O854" s="431" t="s">
        <v>168</v>
      </c>
      <c r="P854" s="431" t="s">
        <v>168</v>
      </c>
      <c r="Q854" s="430">
        <f>C854*((100-Discounts!$B$74)/100)</f>
        <v>9.6000000000000014</v>
      </c>
      <c r="R854" t="str">
        <f>IF(ISNUMBER(Table3[[#This Row],[Thickness]]), "Zenith", "")</f>
        <v>Zenith</v>
      </c>
      <c r="S854">
        <v>5</v>
      </c>
      <c r="T854">
        <v>300</v>
      </c>
    </row>
    <row r="855" spans="1:20" x14ac:dyDescent="0.85">
      <c r="A855" s="433" t="s">
        <v>675</v>
      </c>
      <c r="B855" s="429" t="s">
        <v>678</v>
      </c>
      <c r="C855" s="434">
        <v>115</v>
      </c>
      <c r="D855" s="434"/>
      <c r="E855" s="430" t="s">
        <v>760</v>
      </c>
      <c r="F855" s="435">
        <v>8</v>
      </c>
      <c r="G855" s="435">
        <v>1000</v>
      </c>
      <c r="H855" s="435">
        <v>1000</v>
      </c>
      <c r="I855" s="431" t="s">
        <v>778</v>
      </c>
      <c r="J855" s="432" t="s">
        <v>0</v>
      </c>
      <c r="K855" s="432">
        <v>-30</v>
      </c>
      <c r="L855" s="432">
        <v>70</v>
      </c>
      <c r="M855" s="436" t="s">
        <v>577</v>
      </c>
      <c r="N855" s="436">
        <v>45</v>
      </c>
      <c r="O855" s="435" t="s">
        <v>168</v>
      </c>
      <c r="P855" s="435" t="s">
        <v>168</v>
      </c>
      <c r="Q855" s="434">
        <f>C855*((100-Discounts!$B$74)/100)</f>
        <v>46</v>
      </c>
      <c r="R855" t="str">
        <f>IF(ISNUMBER(Table3[[#This Row],[Thickness]]), "Zenith", "")</f>
        <v>Zenith</v>
      </c>
      <c r="S855">
        <v>5</v>
      </c>
      <c r="T855">
        <v>300</v>
      </c>
    </row>
    <row r="856" spans="1:20" x14ac:dyDescent="0.85">
      <c r="A856" s="429" t="s">
        <v>676</v>
      </c>
      <c r="B856" s="429" t="s">
        <v>678</v>
      </c>
      <c r="C856" s="430">
        <v>28</v>
      </c>
      <c r="D856" s="430"/>
      <c r="E856" s="430" t="s">
        <v>760</v>
      </c>
      <c r="F856" s="431">
        <v>10</v>
      </c>
      <c r="G856" s="431">
        <v>500</v>
      </c>
      <c r="H856" s="431">
        <v>500</v>
      </c>
      <c r="I856" s="431" t="s">
        <v>778</v>
      </c>
      <c r="J856" s="432" t="s">
        <v>0</v>
      </c>
      <c r="K856" s="432">
        <v>-30</v>
      </c>
      <c r="L856" s="432">
        <v>70</v>
      </c>
      <c r="M856" s="436" t="s">
        <v>577</v>
      </c>
      <c r="N856" s="436">
        <v>45</v>
      </c>
      <c r="O856" s="431" t="s">
        <v>168</v>
      </c>
      <c r="P856" s="431" t="s">
        <v>168</v>
      </c>
      <c r="Q856" s="430">
        <f>C856*((100-Discounts!$B$74)/100)</f>
        <v>11.200000000000001</v>
      </c>
      <c r="R856" t="str">
        <f>IF(ISNUMBER(Table3[[#This Row],[Thickness]]), "Zenith", "")</f>
        <v>Zenith</v>
      </c>
      <c r="S856">
        <v>5</v>
      </c>
      <c r="T856">
        <v>300</v>
      </c>
    </row>
    <row r="857" spans="1:20" x14ac:dyDescent="0.85">
      <c r="A857" s="433" t="s">
        <v>677</v>
      </c>
      <c r="B857" s="429" t="s">
        <v>678</v>
      </c>
      <c r="C857" s="434">
        <v>130</v>
      </c>
      <c r="D857" s="434"/>
      <c r="E857" s="430" t="s">
        <v>760</v>
      </c>
      <c r="F857" s="435">
        <v>10</v>
      </c>
      <c r="G857" s="435">
        <v>1000</v>
      </c>
      <c r="H857" s="435">
        <v>1000</v>
      </c>
      <c r="I857" s="431" t="s">
        <v>778</v>
      </c>
      <c r="J857" s="432" t="s">
        <v>0</v>
      </c>
      <c r="K857" s="432">
        <v>-30</v>
      </c>
      <c r="L857" s="432">
        <v>70</v>
      </c>
      <c r="M857" s="436" t="s">
        <v>577</v>
      </c>
      <c r="N857" s="436">
        <v>45</v>
      </c>
      <c r="O857" s="435" t="s">
        <v>168</v>
      </c>
      <c r="P857" s="435" t="s">
        <v>168</v>
      </c>
      <c r="Q857" s="434">
        <f>C857*((100-Discounts!$B$74)/100)</f>
        <v>52</v>
      </c>
      <c r="R857" t="str">
        <f>IF(ISNUMBER(Table3[[#This Row],[Thickness]]), "Zenith", "")</f>
        <v>Zenith</v>
      </c>
      <c r="S857">
        <v>5</v>
      </c>
      <c r="T857">
        <v>300</v>
      </c>
    </row>
    <row r="858" spans="1:20" ht="27" thickBot="1" x14ac:dyDescent="0.9">
      <c r="A858" s="410"/>
      <c r="B858" s="411"/>
      <c r="C858" s="412" t="s">
        <v>597</v>
      </c>
      <c r="D858" s="413"/>
      <c r="E858" s="413"/>
      <c r="F858" s="414" t="s">
        <v>679</v>
      </c>
      <c r="G858" s="414">
        <v>0</v>
      </c>
      <c r="H858" s="338">
        <v>0</v>
      </c>
      <c r="I858" s="217" t="s">
        <v>778</v>
      </c>
      <c r="M858" s="417"/>
      <c r="N858" s="343"/>
      <c r="O858" s="338"/>
      <c r="P858" s="338"/>
      <c r="Q858" s="412" t="s">
        <v>323</v>
      </c>
      <c r="R858" t="str">
        <f>IF(ISNUMBER(Table3[[#This Row],[Thickness]]), "Zenith", "")</f>
        <v/>
      </c>
    </row>
    <row r="859" spans="1:20" ht="54" thickTop="1" thickBot="1" x14ac:dyDescent="0.9">
      <c r="A859" s="156" t="s">
        <v>322</v>
      </c>
      <c r="B859" s="309"/>
      <c r="C859" s="287" t="s">
        <v>702</v>
      </c>
      <c r="D859" s="318"/>
      <c r="E859" s="318"/>
      <c r="F859" s="285" t="s">
        <v>320</v>
      </c>
      <c r="G859" s="285" t="e">
        <v>#VALUE!</v>
      </c>
      <c r="H859" s="286" t="e">
        <v>#VALUE!</v>
      </c>
      <c r="I859" s="217" t="s">
        <v>778</v>
      </c>
      <c r="M859" s="290"/>
      <c r="N859" s="230"/>
      <c r="O859" s="286" t="s">
        <v>171</v>
      </c>
      <c r="P859" s="286" t="s">
        <v>325</v>
      </c>
      <c r="Q859" s="287" t="s">
        <v>199</v>
      </c>
      <c r="R859" t="str">
        <f>IF(ISNUMBER(Table3[[#This Row],[Thickness]]), "Zenith", "")</f>
        <v/>
      </c>
    </row>
    <row r="860" spans="1:20" ht="27" thickTop="1" x14ac:dyDescent="0.85">
      <c r="A860" s="429" t="s">
        <v>680</v>
      </c>
      <c r="B860" s="429" t="s">
        <v>679</v>
      </c>
      <c r="C860" s="430">
        <v>21</v>
      </c>
      <c r="D860" s="430"/>
      <c r="E860" s="430" t="s">
        <v>760</v>
      </c>
      <c r="F860" s="431">
        <v>8</v>
      </c>
      <c r="G860" s="431">
        <v>500</v>
      </c>
      <c r="H860" s="431">
        <v>500</v>
      </c>
      <c r="I860" s="431" t="s">
        <v>778</v>
      </c>
      <c r="J860" s="432" t="s">
        <v>786</v>
      </c>
      <c r="K860" s="432">
        <v>-30</v>
      </c>
      <c r="L860" s="432">
        <v>70</v>
      </c>
      <c r="M860" s="436" t="s">
        <v>577</v>
      </c>
      <c r="N860" s="436">
        <v>70</v>
      </c>
      <c r="O860" s="431" t="s">
        <v>168</v>
      </c>
      <c r="P860" s="431" t="s">
        <v>168</v>
      </c>
      <c r="Q860" s="430">
        <f>C860*((100-Discounts!$B$74)/100)</f>
        <v>8.4</v>
      </c>
      <c r="R860" t="str">
        <f>IF(ISNUMBER(Table3[[#This Row],[Thickness]]), "Zenith", "")</f>
        <v>Zenith</v>
      </c>
      <c r="S860">
        <v>5</v>
      </c>
      <c r="T860">
        <v>300</v>
      </c>
    </row>
    <row r="861" spans="1:20" x14ac:dyDescent="0.85">
      <c r="A861" s="433" t="s">
        <v>681</v>
      </c>
      <c r="B861" s="429" t="s">
        <v>679</v>
      </c>
      <c r="C861" s="434">
        <v>110</v>
      </c>
      <c r="D861" s="434"/>
      <c r="E861" s="430" t="s">
        <v>760</v>
      </c>
      <c r="F861" s="435">
        <v>8</v>
      </c>
      <c r="G861" s="435">
        <v>1000</v>
      </c>
      <c r="H861" s="435">
        <v>1000</v>
      </c>
      <c r="I861" s="431" t="s">
        <v>778</v>
      </c>
      <c r="J861" s="432" t="s">
        <v>786</v>
      </c>
      <c r="K861" s="432">
        <v>-30</v>
      </c>
      <c r="L861" s="432">
        <v>70</v>
      </c>
      <c r="M861" s="436" t="s">
        <v>577</v>
      </c>
      <c r="N861" s="436">
        <v>70</v>
      </c>
      <c r="O861" s="435" t="s">
        <v>168</v>
      </c>
      <c r="P861" s="435" t="s">
        <v>168</v>
      </c>
      <c r="Q861" s="434">
        <f>C861*((100-Discounts!$B$74)/100)</f>
        <v>44</v>
      </c>
      <c r="R861" t="str">
        <f>IF(ISNUMBER(Table3[[#This Row],[Thickness]]), "Zenith", "")</f>
        <v>Zenith</v>
      </c>
      <c r="S861">
        <v>5</v>
      </c>
      <c r="T861">
        <v>300</v>
      </c>
    </row>
    <row r="862" spans="1:20" x14ac:dyDescent="0.85">
      <c r="A862" s="429" t="s">
        <v>682</v>
      </c>
      <c r="B862" s="429" t="s">
        <v>679</v>
      </c>
      <c r="C862" s="430">
        <v>27</v>
      </c>
      <c r="D862" s="430"/>
      <c r="E862" s="430" t="s">
        <v>760</v>
      </c>
      <c r="F862" s="431">
        <v>10</v>
      </c>
      <c r="G862" s="431">
        <v>500</v>
      </c>
      <c r="H862" s="431">
        <v>500</v>
      </c>
      <c r="I862" s="431" t="s">
        <v>778</v>
      </c>
      <c r="J862" s="432" t="s">
        <v>786</v>
      </c>
      <c r="K862" s="432">
        <v>-30</v>
      </c>
      <c r="L862" s="432">
        <v>70</v>
      </c>
      <c r="M862" s="436" t="s">
        <v>577</v>
      </c>
      <c r="N862" s="436">
        <v>70</v>
      </c>
      <c r="O862" s="431" t="s">
        <v>168</v>
      </c>
      <c r="P862" s="431" t="s">
        <v>168</v>
      </c>
      <c r="Q862" s="430">
        <f>C862*((100-Discounts!$B$74)/100)</f>
        <v>10.8</v>
      </c>
      <c r="R862" t="str">
        <f>IF(ISNUMBER(Table3[[#This Row],[Thickness]]), "Zenith", "")</f>
        <v>Zenith</v>
      </c>
      <c r="S862">
        <v>5</v>
      </c>
      <c r="T862">
        <v>300</v>
      </c>
    </row>
    <row r="863" spans="1:20" x14ac:dyDescent="0.85">
      <c r="A863" s="433" t="s">
        <v>683</v>
      </c>
      <c r="B863" s="429" t="s">
        <v>679</v>
      </c>
      <c r="C863" s="434">
        <v>125</v>
      </c>
      <c r="D863" s="434"/>
      <c r="E863" s="430" t="s">
        <v>760</v>
      </c>
      <c r="F863" s="435">
        <v>10</v>
      </c>
      <c r="G863" s="435">
        <v>1000</v>
      </c>
      <c r="H863" s="435">
        <v>1000</v>
      </c>
      <c r="I863" s="431" t="s">
        <v>778</v>
      </c>
      <c r="J863" s="432" t="s">
        <v>786</v>
      </c>
      <c r="K863" s="432">
        <v>-30</v>
      </c>
      <c r="L863" s="432">
        <v>70</v>
      </c>
      <c r="M863" s="436" t="s">
        <v>577</v>
      </c>
      <c r="N863" s="436">
        <v>70</v>
      </c>
      <c r="O863" s="435" t="s">
        <v>168</v>
      </c>
      <c r="P863" s="435" t="s">
        <v>168</v>
      </c>
      <c r="Q863" s="434">
        <f>C863*((100-Discounts!$B$74)/100)</f>
        <v>50</v>
      </c>
      <c r="R863" t="str">
        <f>IF(ISNUMBER(Table3[[#This Row],[Thickness]]), "Zenith", "")</f>
        <v>Zenith</v>
      </c>
      <c r="S863">
        <v>5</v>
      </c>
      <c r="T863">
        <v>300</v>
      </c>
    </row>
  </sheetData>
  <hyperlinks>
    <hyperlink ref="Q3" r:id="rId1" xr:uid="{A040E594-9359-4742-8357-5FE1879E5E64}"/>
    <hyperlink ref="Q36" r:id="rId2" xr:uid="{DD0D45AF-7197-464F-A465-274C29B7F211}"/>
    <hyperlink ref="Q66" r:id="rId3" xr:uid="{9315E889-DE75-45BC-8F30-36CFE045FD30}"/>
    <hyperlink ref="Q79" r:id="rId4" xr:uid="{7E202BEE-EAE8-4CD0-890A-9F60566F5271}"/>
    <hyperlink ref="F3" r:id="rId5" xr:uid="{FD863F32-005E-4876-BBA8-3C0340BF5E25}"/>
    <hyperlink ref="F2:O2" r:id="rId6" display="NR/SBR Rubber sheets" xr:uid="{BD77AB03-E4CB-4682-BA0A-BFBA0648FCF8}"/>
    <hyperlink ref="F36:O36" r:id="rId7" display="Black Miami with insertion(s)" xr:uid="{D51ECE4E-CC2C-4D4B-8E5A-279F6671D770}"/>
    <hyperlink ref="F79" r:id="rId8" xr:uid="{F54C834D-64FA-4EFB-AFB2-92EDED211035}"/>
    <hyperlink ref="Q99" r:id="rId9" xr:uid="{BB4384EF-834F-46A7-A8DC-F0C90D861430}"/>
    <hyperlink ref="F110:G110" r:id="rId10" display="NBR Rubber sheets" xr:uid="{49FA82AB-0581-49C3-A2F7-7DD794ACAB38}"/>
    <hyperlink ref="Q111" r:id="rId11" xr:uid="{F328673B-E8D5-4308-A968-40A3D4CB4170}"/>
    <hyperlink ref="F111" r:id="rId12" xr:uid="{D2C54CB7-41E5-478F-9EFA-43451FEAEA7A}"/>
    <hyperlink ref="Q139" r:id="rId13" xr:uid="{AF370D2B-34FB-4155-A6AB-26F96294563A}"/>
    <hyperlink ref="F139" r:id="rId14" xr:uid="{6B396011-DFDD-47EB-8C02-B23098545170}"/>
    <hyperlink ref="Q161" r:id="rId15" xr:uid="{0DCC55C9-FA36-4A95-838B-2B7207EEFA96}"/>
    <hyperlink ref="F161" r:id="rId16" xr:uid="{04AFB825-A65F-4E0B-BA40-2912D700CCE5}"/>
    <hyperlink ref="Q174" r:id="rId17" xr:uid="{4709D7C6-5874-48FB-8FBF-674EA7859672}"/>
    <hyperlink ref="F174" r:id="rId18" xr:uid="{4D91751B-9B03-4D36-B4B9-94F9C623835C}"/>
    <hyperlink ref="Q196" r:id="rId19" xr:uid="{4F37B4B9-B3A5-4D20-B402-97FFCFDEF4CB}"/>
    <hyperlink ref="F196" r:id="rId20" xr:uid="{9529E3A9-7E65-48DB-89E9-D8779200465E}"/>
    <hyperlink ref="Q208" r:id="rId21" xr:uid="{8EF97F99-8F18-43B5-8333-0E8B096D4037}"/>
    <hyperlink ref="F208" r:id="rId22" xr:uid="{79BB31AB-D47B-4BCC-9ED0-CD29E73D2BB9}"/>
    <hyperlink ref="Q213" r:id="rId23" xr:uid="{C9FF7107-7D92-4090-8BAB-D1102EF8F062}"/>
    <hyperlink ref="F213" r:id="rId24" xr:uid="{1B6A2223-D672-415C-8AEC-FB48B282AA39}"/>
    <hyperlink ref="F226:G226" r:id="rId25" display="NBR Rubber sheets" xr:uid="{BD7362C9-05B5-4E10-8CB2-15EAC8B8BD10}"/>
    <hyperlink ref="Q227" r:id="rId26" xr:uid="{FF55F835-DF22-485E-9254-F2EBF85B5BCA}"/>
    <hyperlink ref="F227" r:id="rId27" xr:uid="{621B01A5-73D9-4388-904C-E1DE449FDB3F}"/>
    <hyperlink ref="Q255" r:id="rId28" xr:uid="{1734A2FE-D546-48D3-88C3-3C7546E74484}"/>
    <hyperlink ref="F255" r:id="rId29" xr:uid="{9E8ECDC5-BBDC-46F1-AE3C-AADD9D0880F6}"/>
    <hyperlink ref="Q277" r:id="rId30" xr:uid="{A9F233EF-BE5F-45C8-A9AF-A121D2633609}"/>
    <hyperlink ref="F277" r:id="rId31" xr:uid="{5981BF7B-95AF-42D2-AB28-8F37A8CD208D}"/>
    <hyperlink ref="Q290" r:id="rId32" xr:uid="{BB3E86AB-A419-41EA-BEC3-0377B44C5692}"/>
    <hyperlink ref="F290" r:id="rId33" xr:uid="{9CB69BFF-13F1-4B08-A25A-E196041EDC7D}"/>
    <hyperlink ref="Q303" r:id="rId34" xr:uid="{6DAB000E-976F-45A7-9D09-D11F442D0352}"/>
    <hyperlink ref="F303" r:id="rId35" xr:uid="{6F090473-28EE-44CB-8B10-C2A067D6E2B2}"/>
    <hyperlink ref="Q316" r:id="rId36" xr:uid="{D5A06916-B2A1-4A61-8E29-796442CC2695}"/>
    <hyperlink ref="F316" r:id="rId37" xr:uid="{3FD4C2A0-DBAC-476C-A8AE-F0A60C4F3530}"/>
    <hyperlink ref="Q329" r:id="rId38" xr:uid="{E787EE86-B87F-4935-9B5E-46E1E161D3BD}"/>
    <hyperlink ref="F329" r:id="rId39" xr:uid="{33D22791-176A-49A6-9E26-73407B23E7B2}"/>
    <hyperlink ref="Q335" r:id="rId40" xr:uid="{D23E1B09-0BA4-4C97-A74C-AE1A8C07DC64}"/>
    <hyperlink ref="F335" r:id="rId41" xr:uid="{79E02C59-2F74-434D-8585-B299A68007E3}"/>
    <hyperlink ref="F342:G342" r:id="rId42" display="NBR Rubber sheets" xr:uid="{69F8AAA8-161B-4833-990E-B26A4A318EE7}"/>
    <hyperlink ref="Q343" r:id="rId43" xr:uid="{17507D2A-7158-415C-B262-800E4B6446F1}"/>
    <hyperlink ref="F343" r:id="rId44" display="Satyr Eco" xr:uid="{8BECB30C-7C6C-42BF-ADBC-9E7474D859D7}"/>
    <hyperlink ref="Q371" r:id="rId45" xr:uid="{81C00645-E9E4-41B8-8D56-80872C34CEDB}"/>
    <hyperlink ref="F371" r:id="rId46" display="Satyr Eco with insertion(s)" xr:uid="{61C0765C-7741-4BA1-81DB-046AF341FD3A}"/>
    <hyperlink ref="Q393" r:id="rId47" xr:uid="{937978DA-4FAA-43E4-8B3C-9F53E4D9D6DE}"/>
    <hyperlink ref="F393" r:id="rId48" display="Satyr Eco flat sheets" xr:uid="{F16FE9DA-00E7-4A0A-B039-0E77D835634E}"/>
    <hyperlink ref="Q406" r:id="rId49" xr:uid="{91215DFA-032C-4D48-98A3-7E3D95CF1742}"/>
    <hyperlink ref="F406" r:id="rId50" xr:uid="{264DB2C6-72E7-498E-B30C-17E03CEBE746}"/>
    <hyperlink ref="Q418" r:id="rId51" xr:uid="{EE8F45E9-ED42-44A3-B6AE-F5736D35805D}"/>
    <hyperlink ref="F418" r:id="rId52" xr:uid="{6EA250FD-0850-455D-8BFF-BB8153014B5A}"/>
    <hyperlink ref="Q430" r:id="rId53" xr:uid="{7A1573CC-5753-4BA7-899A-1D8C3AF97206}"/>
    <hyperlink ref="F430" r:id="rId54" xr:uid="{F8AD87D2-3397-490A-9E65-038DE0C3752B}"/>
    <hyperlink ref="F443:G443" r:id="rId55" display="Para rubber sheets" xr:uid="{7FA59F09-DCF2-4FD0-AD25-C687138337A9}"/>
    <hyperlink ref="Q444" r:id="rId56" xr:uid="{B50F3C0B-D187-4A65-8E7B-68C7F69942C9}"/>
    <hyperlink ref="F444" r:id="rId57" xr:uid="{38A29910-4FCA-4741-A3CF-C56298C779FD}"/>
    <hyperlink ref="Q460" r:id="rId58" xr:uid="{881FC6D4-601B-4074-9D16-1F02B478D67D}"/>
    <hyperlink ref="F460" r:id="rId59" xr:uid="{D99E7557-8EE1-489D-9CB9-9474D45D246E}"/>
    <hyperlink ref="Q469" r:id="rId60" xr:uid="{1B692F06-5238-4E8B-A969-0B41F04B8D88}"/>
    <hyperlink ref="F469" r:id="rId61" xr:uid="{CD494644-BE72-4440-B216-AEAF4E507182}"/>
    <hyperlink ref="Q495" r:id="rId62" xr:uid="{6A669144-5F8F-45BE-B15A-F26E14B980ED}"/>
    <hyperlink ref="F495" r:id="rId63" xr:uid="{2AF1965D-965D-4EA0-AC8E-35784919FC89}"/>
    <hyperlink ref="Q513" r:id="rId64" xr:uid="{F50C757C-39DC-4324-B8D6-F10A4DE4FA9C}"/>
    <hyperlink ref="F513" r:id="rId65" xr:uid="{0AAE369E-17B8-4A61-B2B2-C9E253D21ECD}"/>
    <hyperlink ref="Q536" r:id="rId66" xr:uid="{CE4A1C49-B8C7-431D-9EDA-9E0E035F23C2}"/>
    <hyperlink ref="F536" r:id="rId67" xr:uid="{85E0767E-EDB5-4347-9685-EAD8BACD7CCD}"/>
    <hyperlink ref="Q549" r:id="rId68" xr:uid="{3468256E-2C35-4FB4-913D-3BA5473CCA78}"/>
    <hyperlink ref="F549" r:id="rId69" xr:uid="{751A1884-5823-41AA-985D-1272A2C31A89}"/>
    <hyperlink ref="F503" r:id="rId70" display="Centaur Black" xr:uid="{D5506DF7-4406-45D2-B216-6321C49C912E}"/>
    <hyperlink ref="F553:G553" r:id="rId71" display="Food Grade &amp; VMQ Silicone" xr:uid="{8F8C4C0C-A0DB-4724-894C-498A101B6354}"/>
    <hyperlink ref="Q554" r:id="rId72" xr:uid="{5FC1B019-5DDA-4E26-8AAC-D16791BE0D85}"/>
    <hyperlink ref="F554" r:id="rId73" xr:uid="{811CEDED-D7B3-4300-A57E-669A902AB236}"/>
    <hyperlink ref="Q564" r:id="rId74" xr:uid="{64E6C602-28B6-4272-A6E3-B75CEBE8B3C6}"/>
    <hyperlink ref="F564" r:id="rId75" xr:uid="{88B8A927-0ED8-47C3-9D74-9C668EA46022}"/>
    <hyperlink ref="Q573" r:id="rId76" xr:uid="{1B9647DB-E262-45B0-A5D1-DA3920A1269A}"/>
    <hyperlink ref="F573" r:id="rId77" xr:uid="{F6D00AAF-540D-45C2-A82E-106E032F729C}"/>
    <hyperlink ref="Q583" r:id="rId78" xr:uid="{44DC2963-44FD-4E0D-8F5F-FC2939A974C9}"/>
    <hyperlink ref="F583" r:id="rId79" xr:uid="{6801A1D0-CF9A-468E-BA72-0DC8EC9791DA}"/>
    <hyperlink ref="Q589" r:id="rId80" xr:uid="{3CC4BB46-9847-40BA-BF47-A6A162015333}"/>
    <hyperlink ref="F589" r:id="rId81" xr:uid="{8041F4E5-D78F-40D1-A76D-6E71269DD049}"/>
    <hyperlink ref="Q602" r:id="rId82" xr:uid="{8BD8138D-D8D7-4F6A-A9E0-0AC050E87381}"/>
    <hyperlink ref="F602" r:id="rId83" xr:uid="{6049DF3C-8B81-4215-A8EE-F14CF39C4224}"/>
    <hyperlink ref="Q614" r:id="rId84" xr:uid="{2138AAB4-F9F9-4B1C-9C97-026C3E394169}"/>
    <hyperlink ref="F614" r:id="rId85" xr:uid="{95722B06-F1DC-40DD-85E0-1DA4757C0CEB}"/>
    <hyperlink ref="Q627" r:id="rId86" xr:uid="{084E8C43-8C67-4979-BE24-1B8B13C99A97}"/>
    <hyperlink ref="F627" r:id="rId87" xr:uid="{CDDCB3F5-A5BA-4862-A384-48818971ECC6}"/>
    <hyperlink ref="Q632" r:id="rId88" xr:uid="{71D43DC9-3F97-499D-A6D3-7433C5316AE4}"/>
    <hyperlink ref="F632" r:id="rId89" xr:uid="{A5888A72-F688-4DAD-BADB-76251BF53DC7}"/>
    <hyperlink ref="F642:G642" r:id="rId90" display="Food Grade &amp; VMQ Silicone" xr:uid="{5A4D9255-FAE8-4A13-A040-D0B67AB00B83}"/>
    <hyperlink ref="Q643" r:id="rId91" xr:uid="{EF55F1F0-7CB2-46BC-AA5F-5D5B0A0AE154}"/>
    <hyperlink ref="F643" r:id="rId92" xr:uid="{CA9E725C-4C65-4808-AA88-FBC399270725}"/>
    <hyperlink ref="F642:H642" r:id="rId93" display="Fluoro elastomer rubber sheets" xr:uid="{27D48B98-5253-42AD-AB9B-6BA8FCBF92DC}"/>
    <hyperlink ref="F95" r:id="rId94" xr:uid="{713DFCD6-9360-4621-B766-7515685F01E6}"/>
    <hyperlink ref="Q95" r:id="rId95" xr:uid="{A477A0FA-E325-4D2E-83F9-DAEAE5FE08EB}"/>
    <hyperlink ref="F655:G655" r:id="rId96" display="Food Grade &amp; VMQ Silicone" xr:uid="{E2D6AFF1-DCED-4DFC-94B2-E5994C87470F}"/>
    <hyperlink ref="Q656" r:id="rId97" xr:uid="{328A0FF2-EBC8-40C2-9259-35F21C35B762}"/>
    <hyperlink ref="F656" r:id="rId98" xr:uid="{1942B0A1-DD5E-4377-BCA0-4804F0AA0511}"/>
    <hyperlink ref="F655:H655" r:id="rId99" display="Various rubber sheets" xr:uid="{21EFA047-2DAB-4F84-9E38-6A3B4BB0C4B9}"/>
    <hyperlink ref="Q664" r:id="rId100" xr:uid="{649DFA19-C0CC-40D1-8B5A-B9DC2736A6B2}"/>
    <hyperlink ref="F664" r:id="rId101" xr:uid="{808B3E05-5BD7-4004-835E-1757F9371F55}"/>
    <hyperlink ref="F671" r:id="rId102" xr:uid="{5E6967D1-38C8-456B-8A8F-E6A72974602C}"/>
    <hyperlink ref="Q671" r:id="rId103" xr:uid="{C953C5EA-0C03-4E2B-AEAD-77B7470DC032}"/>
    <hyperlink ref="F677:O677" r:id="rId104" display="Food Grade &amp; VMQ Silicone" xr:uid="{AB6801DF-33A6-44B8-BD54-0D1B32DC9458}"/>
    <hyperlink ref="Q678" r:id="rId105" xr:uid="{39548C2A-DF60-45C2-A237-CBAC7DF48C6D}"/>
    <hyperlink ref="F678" r:id="rId106" xr:uid="{834879DD-EF1A-4F12-BF00-3BA3C1850249}"/>
    <hyperlink ref="F677:T677" r:id="rId107" display="Rubber matting" xr:uid="{5E5EA5E8-1922-40C6-B620-1BC9970F913C}"/>
    <hyperlink ref="Q691" r:id="rId108" xr:uid="{90D5E3CB-493E-46A7-BFE2-2ED22C186190}"/>
    <hyperlink ref="F691" r:id="rId109" xr:uid="{05332E13-260F-4AA2-A982-5116EE494035}"/>
    <hyperlink ref="Q698" r:id="rId110" xr:uid="{C7A41D8C-ED09-4C95-9B34-AE00D31504B7}"/>
    <hyperlink ref="F698" r:id="rId111" xr:uid="{C34C4279-CA15-46A3-A3EC-FF04DFC4089F}"/>
    <hyperlink ref="Q701" r:id="rId112" xr:uid="{C60C4D70-DA29-405F-93EE-C1823DD44F36}"/>
    <hyperlink ref="F701" r:id="rId113" xr:uid="{CE2D1E45-D3F4-4F4F-8C0A-1BE5FA3C77AE}"/>
    <hyperlink ref="Q704" r:id="rId114" xr:uid="{4C2C9269-7623-480F-824A-7C4E4A755DFB}"/>
    <hyperlink ref="F704" r:id="rId115" xr:uid="{35EF1838-1EC3-4C43-929D-1197509841EB}"/>
    <hyperlink ref="Q713" r:id="rId116" xr:uid="{DBE0F527-D7E5-445A-874D-E49974E2E8F8}"/>
    <hyperlink ref="F713" r:id="rId117" xr:uid="{E3840948-A07B-4391-86A8-14D0EFF0113D}"/>
    <hyperlink ref="C678" r:id="rId118" xr:uid="{C434DE2A-A1BF-4DBD-ADD5-E2499AA5DA92}"/>
    <hyperlink ref="C691" r:id="rId119" xr:uid="{043FEADE-760F-4293-B257-EEA61164524C}"/>
    <hyperlink ref="C698" r:id="rId120" xr:uid="{2C7C25D9-12C4-42A4-A92C-59F41EAE33D7}"/>
    <hyperlink ref="C701" r:id="rId121" xr:uid="{5344B62E-1E17-44FE-B9EE-6A663F846484}"/>
    <hyperlink ref="C704" r:id="rId122" xr:uid="{8F9E4788-C6A4-48E0-A621-E8AFC3219905}"/>
    <hyperlink ref="C713" r:id="rId123" xr:uid="{7D7BCE03-C8EA-4CEB-B03C-ACA1D24F66F6}"/>
    <hyperlink ref="Q734" r:id="rId124" xr:uid="{70FD9924-DBE4-43C6-AA79-7B719927B1B1}"/>
    <hyperlink ref="F734" r:id="rId125" display="Saturn Fine Rib" xr:uid="{0D861866-6BD5-43D7-9746-D8E82055A6B4}"/>
    <hyperlink ref="C734" r:id="rId126" xr:uid="{9EF4227D-50E6-41AC-AC11-FDBAA55921EB}"/>
    <hyperlink ref="Q718" r:id="rId127" xr:uid="{BB77F067-3AC0-42AB-8097-5AAC580CFA02}"/>
    <hyperlink ref="F718" r:id="rId128" xr:uid="{2202E1F2-C14B-472B-AB52-0897A3260262}"/>
    <hyperlink ref="C718" r:id="rId129" xr:uid="{D15AC72C-8767-414A-A1C3-3E5C1F9503A1}"/>
    <hyperlink ref="Q738" r:id="rId130" xr:uid="{4368A8C8-AD6D-470F-B61A-09F66C2A9CC3}"/>
    <hyperlink ref="F738" r:id="rId131" xr:uid="{56FDE73A-1A48-4472-9C76-819596793578}"/>
    <hyperlink ref="C738" r:id="rId132" xr:uid="{77A4B279-A28B-4850-971F-F9F29641D0EA}"/>
    <hyperlink ref="Q742" r:id="rId133" xr:uid="{A609E8ED-74A5-40F9-87EC-A8BE3DAC4181}"/>
    <hyperlink ref="F742" r:id="rId134" xr:uid="{983537D4-A54A-4508-9F56-C95099C4E85C}"/>
    <hyperlink ref="C742" r:id="rId135" xr:uid="{6CDA473C-8031-4E4D-A2D5-9C50437EB850}"/>
    <hyperlink ref="Q748" r:id="rId136" xr:uid="{FF923459-EB8B-49E7-9A97-8E5268854E09}"/>
    <hyperlink ref="F748" r:id="rId137" xr:uid="{83BF7A15-E97A-4A66-B41C-E9973913AA6B}"/>
    <hyperlink ref="C748" r:id="rId138" xr:uid="{6CA1779E-4891-462D-A8FA-216F530126C9}"/>
    <hyperlink ref="Q751" r:id="rId139" xr:uid="{71371236-576C-4592-BAD3-5FF7B707DE66}"/>
    <hyperlink ref="F751" r:id="rId140" xr:uid="{794913BD-2138-4AF8-B9AD-F0FCB79A4AFD}"/>
    <hyperlink ref="C751" r:id="rId141" xr:uid="{A207CBAD-DB28-4D4B-ABD3-2C6098D99994}"/>
    <hyperlink ref="Q757" r:id="rId142" xr:uid="{5053ECB1-0387-47DF-A0C3-10CC65495BF6}"/>
    <hyperlink ref="F757" r:id="rId143" xr:uid="{107FD9C6-61BE-4341-A1D2-4CB8A4120AD7}"/>
    <hyperlink ref="C757" r:id="rId144" xr:uid="{2C2AAEF0-5848-47CB-BBEA-D723133456A9}"/>
    <hyperlink ref="Q763" r:id="rId145" xr:uid="{BC875ED4-9929-4313-AB6A-4D3F6F574094}"/>
    <hyperlink ref="F763" r:id="rId146" xr:uid="{5E5B9523-C062-4752-B03A-21A837065CC8}"/>
    <hyperlink ref="C763" r:id="rId147" xr:uid="{75D4A35E-1AFB-4347-930E-3C4065F4C182}"/>
    <hyperlink ref="Q768" r:id="rId148" xr:uid="{EF0B35C4-9888-4850-B7B7-A027E767B7D0}"/>
    <hyperlink ref="F768" r:id="rId149" xr:uid="{DE97B488-3DB8-4286-BB27-69772C5F42A8}"/>
    <hyperlink ref="C768" r:id="rId150" xr:uid="{DDBE3DBD-3477-46CC-A8D7-07A2171263FF}"/>
    <hyperlink ref="Q775" r:id="rId151" xr:uid="{30A34EFE-7978-4260-8682-C03431596E78}"/>
    <hyperlink ref="F775" r:id="rId152" xr:uid="{ECC45A42-C1B2-4772-A2DB-7B95E40DD3A4}"/>
    <hyperlink ref="C775" r:id="rId153" xr:uid="{139FB400-E44B-4293-AD71-1F9703ADB60D}"/>
    <hyperlink ref="Q783" r:id="rId154" xr:uid="{8B604522-4908-45FE-B8BC-4D059D36783C}"/>
    <hyperlink ref="F783" r:id="rId155" xr:uid="{82637A6A-E1EB-4618-BA89-C16491BBAB18}"/>
    <hyperlink ref="C783" r:id="rId156" xr:uid="{C5916BEE-F238-434B-8683-FCEDB77B11FC}"/>
    <hyperlink ref="Q789" r:id="rId157" xr:uid="{4F4A48F2-3E49-4675-88E6-54BF711D2996}"/>
    <hyperlink ref="F789" r:id="rId158" xr:uid="{FBD2AC73-4EA1-485C-A4AC-1586227EB058}"/>
    <hyperlink ref="C789" r:id="rId159" xr:uid="{F7BD63CB-A24A-4AEC-808E-351860FE745F}"/>
    <hyperlink ref="Q798" r:id="rId160" xr:uid="{CE62DC78-D5F8-402C-80CD-93AA51B9FC67}"/>
    <hyperlink ref="F798" r:id="rId161" xr:uid="{CDCF22A7-BFFC-4F61-85F0-66DA1FCE2719}"/>
    <hyperlink ref="C798" r:id="rId162" xr:uid="{780A3E7F-57DA-47BF-AF38-D15DE8DA368E}"/>
    <hyperlink ref="Q803" r:id="rId163" xr:uid="{5E1BC035-CC44-4F1F-9CB1-B79F7EC7ED75}"/>
    <hyperlink ref="F803" r:id="rId164" xr:uid="{4248DB33-635E-4A87-A7EC-745F3E007FC7}"/>
    <hyperlink ref="C803" r:id="rId165" xr:uid="{D5DFAFEC-EE37-43BC-AF0C-F8BC567A0B58}"/>
    <hyperlink ref="Q818" r:id="rId166" xr:uid="{CB746733-7B59-4C48-AFD0-330E150E9BB3}"/>
    <hyperlink ref="F818" r:id="rId167" xr:uid="{95886790-8B6F-4671-8DA6-043D95252C5E}"/>
    <hyperlink ref="C818" r:id="rId168" xr:uid="{7FE456BD-2A9C-4108-9FE2-21EC9A21D8A1}"/>
    <hyperlink ref="Q822" r:id="rId169" xr:uid="{BFF9D71F-10BC-4527-9374-B25600F35E49}"/>
    <hyperlink ref="F822" r:id="rId170" xr:uid="{761D213C-71D5-4428-A77B-C262D2187EA9}"/>
    <hyperlink ref="C822" r:id="rId171" xr:uid="{D3EE04E2-58F9-4164-96BA-6451D7F4237E}"/>
    <hyperlink ref="Q832" r:id="rId172" xr:uid="{63F548F2-02D4-4B71-A4A1-6DAD4CE30F60}"/>
    <hyperlink ref="F832" r:id="rId173" xr:uid="{64B0A70E-22A5-4977-BDD5-8D3F2758A38D}"/>
    <hyperlink ref="C832" r:id="rId174" xr:uid="{FC507677-6E85-4D52-8592-2D96722E6F0A}"/>
    <hyperlink ref="Q837" r:id="rId175" xr:uid="{2707CADD-EA66-4972-8E1E-19B8FEC32C04}"/>
    <hyperlink ref="F837" r:id="rId176" xr:uid="{A33100DF-5A1A-4492-A4A8-69E8930D6981}"/>
    <hyperlink ref="C837" r:id="rId177" xr:uid="{936DC3B6-B417-40FD-888D-6BA6D07685FC}"/>
    <hyperlink ref="Q841" r:id="rId178" xr:uid="{AB0DEA1B-E1AE-41EC-9CA2-BF016BB8D705}"/>
    <hyperlink ref="F841" r:id="rId179" xr:uid="{40AC4901-2FDE-4549-ADE6-166E1F740C2F}"/>
    <hyperlink ref="C841" r:id="rId180" xr:uid="{F3CC2058-56B0-4E84-A4DB-38906C2FC09D}"/>
    <hyperlink ref="Q845" r:id="rId181" xr:uid="{4FA08D44-EDEC-41BB-BD15-86DE3934C577}"/>
    <hyperlink ref="F845" r:id="rId182" xr:uid="{B8444C82-D549-4975-9457-634D96E72EE3}"/>
    <hyperlink ref="C845" r:id="rId183" xr:uid="{1EE237C7-4A0C-47DC-A697-89A41E140C70}"/>
    <hyperlink ref="Q852" r:id="rId184" xr:uid="{748968DE-D89E-4DEA-BDDF-ED5D0ABA4E52}"/>
    <hyperlink ref="F852" r:id="rId185" xr:uid="{2B977ABE-3ECF-4D28-BE0E-7315E74C8AF6}"/>
    <hyperlink ref="C852" r:id="rId186" xr:uid="{22E1498A-0352-4EBA-A331-0DDB9BCFD54F}"/>
    <hyperlink ref="Q858" r:id="rId187" xr:uid="{2C030ADC-3634-4EDC-9AF5-C0128365A790}"/>
    <hyperlink ref="F858" r:id="rId188" xr:uid="{BDA9EBB4-8D1F-48E9-A959-E25D135F27B2}"/>
    <hyperlink ref="C858" r:id="rId189" xr:uid="{3BC00FE9-5A5B-4971-9B0D-98A22C69CCBA}"/>
    <hyperlink ref="Q728" r:id="rId190" xr:uid="{1B04F66A-BAA8-46BB-A917-6249D1AB5CD1}"/>
    <hyperlink ref="F728" r:id="rId191" xr:uid="{1A94255E-5BBE-4F1F-8631-0B829DE67076}"/>
    <hyperlink ref="C728" r:id="rId192" xr:uid="{CC0BE9DC-18DC-4EB2-A32E-0431209D0B3A}"/>
    <hyperlink ref="Q810" r:id="rId193" xr:uid="{97B5F40C-4126-432C-ABEB-5F003B99CF7E}"/>
    <hyperlink ref="F810" r:id="rId194" xr:uid="{BB4842F1-81F8-4DC9-8ADE-4420F6A076AA}"/>
    <hyperlink ref="C810" r:id="rId195" xr:uid="{102869CD-19E5-42BA-B40A-10048EB4BF58}"/>
    <hyperlink ref="Q848" r:id="rId196" xr:uid="{EC93978A-49A3-4D50-A6C6-E1AC5F83B07A}"/>
    <hyperlink ref="F848" r:id="rId197" display="Zeus Marble Mat" xr:uid="{4E05C14F-8DF8-42CF-B2B1-9471B130EE4F}"/>
    <hyperlink ref="C848" r:id="rId198" xr:uid="{5D6D06C9-9F81-4B1C-9A06-B95A80294224}"/>
    <hyperlink ref="G2" r:id="rId199" display="NR/SBR Rubber sheets" xr:uid="{9461E82D-AE92-4D73-BC74-6C855B4793BB}"/>
    <hyperlink ref="G36" r:id="rId200" display="Black Miami with insertion(s)" xr:uid="{C6CEB887-17B5-4811-AD83-A6D7ECB553AD}"/>
    <hyperlink ref="G66" r:id="rId201" display="Black Miami flat sheets" xr:uid="{E631E302-3226-421C-80CA-DBE48E051B3B}"/>
    <hyperlink ref="G99" r:id="rId202" display="Black Miami 50" xr:uid="{96A661A7-231C-4F08-A836-0F011073D2B6}"/>
    <hyperlink ref="G677" r:id="rId203" display="Rubber matting" xr:uid="{D0042E6E-D8FF-48D2-8CC0-B6FBAFFDDE09}"/>
    <hyperlink ref="F99:O99" r:id="rId204" display="Black Miami 50" xr:uid="{19EBE82B-76CC-44B8-99F0-EF8A669A4308}"/>
    <hyperlink ref="F66:O66" r:id="rId205" display="Black Miami flat sheets" xr:uid="{A2560520-CAF8-4272-B936-AA076DAB4B0F}"/>
    <hyperlink ref="K67:N79" r:id="rId206" display="Black Miami flat sheets" xr:uid="{A85DD001-8D3B-4158-857C-0CA58841FC46}"/>
    <hyperlink ref="K80:M95" r:id="rId207" display="Black Miami flat sheets" xr:uid="{00800AEF-D3A0-41B8-81EC-F0F5B4CCFEBC}"/>
    <hyperlink ref="K97:M97" r:id="rId208" display="Black Miami flat sheets" xr:uid="{0555BC67-7CC0-4AC1-880C-18A29273DDB6}"/>
    <hyperlink ref="K98:M98" r:id="rId209" display="Black Miami flat sheets" xr:uid="{899B19ED-F993-4D37-B077-4AEBF536B445}"/>
  </hyperlinks>
  <pageMargins left="0.7" right="0.7" top="0.75" bottom="0.75" header="0.3" footer="0.3"/>
  <tableParts count="1">
    <tablePart r:id="rId2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5274C000CB32D4F8816337FDD936143" ma:contentTypeVersion="18" ma:contentTypeDescription="Loo uus dokument" ma:contentTypeScope="" ma:versionID="a1ebad35ea02f975eed7e2f1ee66b111">
  <xsd:schema xmlns:xsd="http://www.w3.org/2001/XMLSchema" xmlns:xs="http://www.w3.org/2001/XMLSchema" xmlns:p="http://schemas.microsoft.com/office/2006/metadata/properties" xmlns:ns2="6ed06fd1-a278-4334-a56f-1eb1fa8e7b7f" xmlns:ns3="64c09e01-6a73-4530-87a3-11da6cb668ce" targetNamespace="http://schemas.microsoft.com/office/2006/metadata/properties" ma:root="true" ma:fieldsID="552495c7914c1a69513462a8bcfceef5" ns2:_="" ns3:_="">
    <xsd:import namespace="6ed06fd1-a278-4334-a56f-1eb1fa8e7b7f"/>
    <xsd:import namespace="64c09e01-6a73-4530-87a3-11da6cb668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06fd1-a278-4334-a56f-1eb1fa8e7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Pildisildid" ma:readOnly="false" ma:fieldId="{5cf76f15-5ced-4ddc-b409-7134ff3c332f}" ma:taxonomyMulti="true" ma:sspId="b4927d8c-85c4-42e8-a27a-7a2c9c7d79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09e01-6a73-4530-87a3-11da6cb668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Ühiskasutuse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Ühiskasutusse andmise üksikasjad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ec348d8-87ad-4f34-97f0-bff9641083b5}" ma:internalName="TaxCatchAll" ma:showField="CatchAllData" ma:web="64c09e01-6a73-4530-87a3-11da6cb668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c09e01-6a73-4530-87a3-11da6cb668ce" xsi:nil="true"/>
    <lcf76f155ced4ddcb4097134ff3c332f xmlns="6ed06fd1-a278-4334-a56f-1eb1fa8e7b7f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5212C5-8CE9-41C2-B502-A991E8D494F5}"/>
</file>

<file path=customXml/itemProps2.xml><?xml version="1.0" encoding="utf-8"?>
<ds:datastoreItem xmlns:ds="http://schemas.openxmlformats.org/officeDocument/2006/customXml" ds:itemID="{7ECDE4AF-8960-48C6-8EEC-7DF93AAD827C}">
  <ds:schemaRefs>
    <ds:schemaRef ds:uri="http://schemas.openxmlformats.org/package/2006/metadata/core-properties"/>
    <ds:schemaRef ds:uri="cec70d05-53bd-431c-8f6a-c213b4ae70e7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3d28f7e3-7bbf-41d0-9a0f-67c6f1333729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E07CA77-1786-41E5-A547-17620E7CC4F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54FF81C-EAED-4376-9D35-3B71131500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Discounts</vt:lpstr>
      <vt:lpstr>SBR</vt:lpstr>
      <vt:lpstr>NBR</vt:lpstr>
      <vt:lpstr>EPDM</vt:lpstr>
      <vt:lpstr>CR</vt:lpstr>
      <vt:lpstr>Para</vt:lpstr>
      <vt:lpstr>Food Grade &amp; VMQ</vt:lpstr>
      <vt:lpstr>FKM</vt:lpstr>
      <vt:lpstr>Various</vt:lpstr>
      <vt:lpstr>Matting</vt:lpstr>
      <vt:lpstr>ALL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 Ogink</dc:creator>
  <cp:lastModifiedBy>Kirill Zaitsev</cp:lastModifiedBy>
  <cp:lastPrinted>2021-02-28T13:20:46Z</cp:lastPrinted>
  <dcterms:created xsi:type="dcterms:W3CDTF">2013-01-08T14:54:46Z</dcterms:created>
  <dcterms:modified xsi:type="dcterms:W3CDTF">2025-10-29T07:58:30Z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0x01010035274C000CB32D4F8816337FDD936143</vt:lpwstr>
  </property>
  <property fmtid="{D5CDD505-2E9C-101B-9397-08002B2CF9AE}" pid="3" name="MediaServiceImageTags">
    <vt:lpwstr/>
  </property>
</Properties>
</file>